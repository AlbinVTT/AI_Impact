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bin Thomas\OneDrive\Desktop\Interview\Deloite\"/>
    </mc:Choice>
  </mc:AlternateContent>
  <xr:revisionPtr revIDLastSave="0" documentId="13_ncr:1_{1A8F0E27-9C5D-477E-B7C1-36722A3EEED4}" xr6:coauthVersionLast="47" xr6:coauthVersionMax="47" xr10:uidLastSave="{00000000-0000-0000-0000-000000000000}"/>
  <bookViews>
    <workbookView xWindow="-110" yWindow="-110" windowWidth="19420" windowHeight="10300" tabRatio="500" firstSheet="4" activeTab="7" xr2:uid="{00000000-000D-0000-FFFF-FFFF00000000}"/>
  </bookViews>
  <sheets>
    <sheet name="Company_Selection" sheetId="2" r:id="rId1"/>
    <sheet name="Raw_Data" sheetId="3" r:id="rId2"/>
    <sheet name="Assumptions" sheetId="4" r:id="rId3"/>
    <sheet name="Scenario_Model" sheetId="5" r:id="rId4"/>
    <sheet name="Revenue_Mix" sheetId="6" r:id="rId5"/>
    <sheet name="Charts" sheetId="7" r:id="rId6"/>
    <sheet name="Sources" sheetId="8" r:id="rId7"/>
    <sheet name="Prompt_Log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7" l="1"/>
  <c r="H10" i="7"/>
  <c r="G10" i="7"/>
  <c r="I9" i="7"/>
  <c r="H9" i="7"/>
  <c r="G9" i="7"/>
  <c r="I8" i="7"/>
  <c r="H8" i="7"/>
  <c r="G8" i="7"/>
  <c r="I7" i="7"/>
  <c r="H7" i="7"/>
  <c r="G7" i="7"/>
  <c r="I6" i="7"/>
  <c r="H6" i="7"/>
  <c r="G6" i="7"/>
  <c r="B6" i="7"/>
  <c r="I5" i="7"/>
  <c r="H5" i="7"/>
  <c r="G5" i="7"/>
  <c r="B5" i="7"/>
  <c r="B10" i="6"/>
  <c r="P10" i="7" s="1"/>
  <c r="K9" i="6"/>
  <c r="B9" i="6"/>
  <c r="K8" i="6"/>
  <c r="B8" i="6"/>
  <c r="K7" i="6"/>
  <c r="C7" i="6"/>
  <c r="B7" i="6"/>
  <c r="P7" i="7" s="1"/>
  <c r="C6" i="6"/>
  <c r="B6" i="6"/>
  <c r="P6" i="7" s="1"/>
  <c r="B5" i="6"/>
  <c r="C5" i="6" s="1"/>
  <c r="S10" i="5"/>
  <c r="Q10" i="5"/>
  <c r="P10" i="5"/>
  <c r="M10" i="5"/>
  <c r="J10" i="5"/>
  <c r="H10" i="5"/>
  <c r="G10" i="5"/>
  <c r="D10" i="5"/>
  <c r="C10" i="5"/>
  <c r="B10" i="5"/>
  <c r="E10" i="5" s="1"/>
  <c r="S9" i="5"/>
  <c r="Q9" i="5"/>
  <c r="P9" i="5"/>
  <c r="M9" i="5"/>
  <c r="J9" i="5"/>
  <c r="H9" i="5"/>
  <c r="G9" i="5"/>
  <c r="E9" i="5"/>
  <c r="D9" i="5"/>
  <c r="C9" i="5"/>
  <c r="B9" i="5"/>
  <c r="B9" i="7" s="1"/>
  <c r="S8" i="5"/>
  <c r="Q8" i="5"/>
  <c r="P8" i="5"/>
  <c r="M8" i="5"/>
  <c r="J8" i="5"/>
  <c r="H8" i="5"/>
  <c r="G8" i="5"/>
  <c r="D8" i="5"/>
  <c r="C8" i="5"/>
  <c r="B8" i="5"/>
  <c r="B8" i="7" s="1"/>
  <c r="S7" i="5"/>
  <c r="Q7" i="5"/>
  <c r="P7" i="5"/>
  <c r="M7" i="5"/>
  <c r="J7" i="5"/>
  <c r="H7" i="5"/>
  <c r="G7" i="5"/>
  <c r="D7" i="5"/>
  <c r="C7" i="5"/>
  <c r="B7" i="5"/>
  <c r="B7" i="7" s="1"/>
  <c r="S6" i="5"/>
  <c r="Q6" i="5"/>
  <c r="P6" i="5"/>
  <c r="M6" i="5"/>
  <c r="J6" i="5"/>
  <c r="H6" i="5"/>
  <c r="G6" i="5"/>
  <c r="E6" i="5"/>
  <c r="F6" i="5" s="1"/>
  <c r="D6" i="5"/>
  <c r="C6" i="5"/>
  <c r="B6" i="5"/>
  <c r="S5" i="5"/>
  <c r="Q5" i="5"/>
  <c r="P5" i="5"/>
  <c r="M5" i="5"/>
  <c r="J5" i="5"/>
  <c r="H5" i="5"/>
  <c r="G5" i="5"/>
  <c r="D5" i="5"/>
  <c r="C5" i="5"/>
  <c r="B5" i="5"/>
  <c r="E5" i="5" s="1"/>
  <c r="F5" i="5" l="1"/>
  <c r="I6" i="5"/>
  <c r="K6" i="5"/>
  <c r="F10" i="5"/>
  <c r="P9" i="7"/>
  <c r="P8" i="7"/>
  <c r="B10" i="7"/>
  <c r="F9" i="5"/>
  <c r="B11" i="5"/>
  <c r="C10" i="6"/>
  <c r="E8" i="5"/>
  <c r="K6" i="6"/>
  <c r="C9" i="6"/>
  <c r="K5" i="6"/>
  <c r="C8" i="6"/>
  <c r="E7" i="5"/>
  <c r="P5" i="7"/>
  <c r="K10" i="6"/>
  <c r="F8" i="5" l="1"/>
  <c r="K10" i="5"/>
  <c r="I10" i="5"/>
  <c r="F7" i="5"/>
  <c r="F11" i="5" s="1"/>
  <c r="I9" i="5"/>
  <c r="K9" i="5"/>
  <c r="E11" i="5"/>
  <c r="L6" i="5"/>
  <c r="N6" i="5" s="1"/>
  <c r="K5" i="5"/>
  <c r="I5" i="5"/>
  <c r="K8" i="5" l="1"/>
  <c r="I8" i="5"/>
  <c r="O6" i="5"/>
  <c r="L9" i="5"/>
  <c r="N9" i="5" s="1"/>
  <c r="D9" i="6"/>
  <c r="E9" i="6" s="1"/>
  <c r="L10" i="5"/>
  <c r="N10" i="5" s="1"/>
  <c r="D10" i="6"/>
  <c r="E10" i="6" s="1"/>
  <c r="I11" i="5"/>
  <c r="D5" i="6"/>
  <c r="E5" i="6" s="1"/>
  <c r="L5" i="5"/>
  <c r="D6" i="6"/>
  <c r="E6" i="6" s="1"/>
  <c r="K7" i="5"/>
  <c r="I7" i="5"/>
  <c r="K11" i="5"/>
  <c r="O9" i="5" l="1"/>
  <c r="L7" i="5"/>
  <c r="N7" i="5" s="1"/>
  <c r="O10" i="5"/>
  <c r="T6" i="5"/>
  <c r="M6" i="7" s="1"/>
  <c r="R6" i="5"/>
  <c r="D8" i="6"/>
  <c r="E8" i="6" s="1"/>
  <c r="L8" i="5"/>
  <c r="N8" i="5" s="1"/>
  <c r="N5" i="5"/>
  <c r="L6" i="7" l="1"/>
  <c r="U6" i="5"/>
  <c r="C6" i="7" s="1"/>
  <c r="R10" i="5"/>
  <c r="T10" i="5"/>
  <c r="M10" i="7" s="1"/>
  <c r="L11" i="5"/>
  <c r="D7" i="6"/>
  <c r="E7" i="6" s="1"/>
  <c r="O7" i="5"/>
  <c r="O5" i="5"/>
  <c r="N11" i="5"/>
  <c r="O8" i="5"/>
  <c r="T9" i="5"/>
  <c r="M9" i="7" s="1"/>
  <c r="R9" i="5"/>
  <c r="O11" i="5" l="1"/>
  <c r="T5" i="5"/>
  <c r="R5" i="5"/>
  <c r="F6" i="6"/>
  <c r="L9" i="7"/>
  <c r="U9" i="5"/>
  <c r="C9" i="7" s="1"/>
  <c r="R7" i="5"/>
  <c r="T7" i="5"/>
  <c r="M7" i="7" s="1"/>
  <c r="L10" i="7"/>
  <c r="U10" i="5"/>
  <c r="C10" i="7" s="1"/>
  <c r="T8" i="5"/>
  <c r="M8" i="7" s="1"/>
  <c r="R8" i="5"/>
  <c r="F9" i="6" l="1"/>
  <c r="F10" i="6"/>
  <c r="L7" i="7"/>
  <c r="U7" i="5"/>
  <c r="C7" i="7" s="1"/>
  <c r="R11" i="5"/>
  <c r="L5" i="7"/>
  <c r="U5" i="5"/>
  <c r="F5" i="6" s="1"/>
  <c r="D6" i="7"/>
  <c r="Q6" i="7"/>
  <c r="L6" i="6"/>
  <c r="H6" i="6"/>
  <c r="M6" i="6" s="1"/>
  <c r="G6" i="6"/>
  <c r="L8" i="7"/>
  <c r="U8" i="5"/>
  <c r="C8" i="7" s="1"/>
  <c r="T11" i="5"/>
  <c r="M5" i="7"/>
  <c r="Q5" i="7" l="1"/>
  <c r="L5" i="6"/>
  <c r="H5" i="6"/>
  <c r="M5" i="6" s="1"/>
  <c r="G5" i="6"/>
  <c r="D5" i="7"/>
  <c r="C5" i="7"/>
  <c r="U11" i="5"/>
  <c r="F7" i="6"/>
  <c r="Q10" i="7"/>
  <c r="L10" i="6"/>
  <c r="H10" i="6"/>
  <c r="M10" i="6" s="1"/>
  <c r="G10" i="6"/>
  <c r="D10" i="7"/>
  <c r="F8" i="6"/>
  <c r="H9" i="6"/>
  <c r="M9" i="6" s="1"/>
  <c r="L9" i="6"/>
  <c r="G9" i="6"/>
  <c r="D9" i="7"/>
  <c r="Q9" i="7"/>
  <c r="D7" i="7" l="1"/>
  <c r="G7" i="6"/>
  <c r="Q7" i="7"/>
  <c r="L7" i="6"/>
  <c r="H7" i="6"/>
  <c r="M7" i="6" s="1"/>
  <c r="H8" i="6"/>
  <c r="M8" i="6" s="1"/>
  <c r="G8" i="6"/>
  <c r="D8" i="7"/>
  <c r="L8" i="6"/>
  <c r="Q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0"/>
            <rFont val="Arial"/>
            <family val="2"/>
          </rPr>
          <t>Edit or extend as needed.</t>
        </r>
      </text>
    </comment>
    <comment ref="B1" authorId="0" shapeId="0" xr:uid="{00000000-0006-0000-0100-000002000000}">
      <text>
        <r>
          <rPr>
            <sz val="10"/>
            <rFont val="Arial"/>
            <family val="2"/>
          </rPr>
          <t>Edit or extend as needed.</t>
        </r>
      </text>
    </comment>
    <comment ref="C1" authorId="0" shapeId="0" xr:uid="{00000000-0006-0000-0100-000003000000}">
      <text>
        <r>
          <rPr>
            <sz val="10"/>
            <rFont val="Arial"/>
            <family val="2"/>
          </rPr>
          <t>Edit or extend as needed.</t>
        </r>
      </text>
    </comment>
    <comment ref="D1" authorId="0" shapeId="0" xr:uid="{00000000-0006-0000-0100-000004000000}">
      <text>
        <r>
          <rPr>
            <sz val="10"/>
            <rFont val="Arial"/>
            <family val="2"/>
          </rPr>
          <t>Edit or extend as needed.</t>
        </r>
      </text>
    </comment>
    <comment ref="E1" authorId="0" shapeId="0" xr:uid="{00000000-0006-0000-0100-000005000000}">
      <text>
        <r>
          <rPr>
            <sz val="10"/>
            <rFont val="Arial"/>
            <family val="2"/>
          </rPr>
          <t>Edit or extend as needed.</t>
        </r>
      </text>
    </comment>
    <comment ref="F1" authorId="0" shapeId="0" xr:uid="{00000000-0006-0000-0100-000006000000}">
      <text>
        <r>
          <rPr>
            <sz val="10"/>
            <rFont val="Arial"/>
            <family val="2"/>
          </rPr>
          <t>Edit or extend as needed.</t>
        </r>
      </text>
    </comment>
    <comment ref="G1" authorId="0" shapeId="0" xr:uid="{00000000-0006-0000-0100-000007000000}">
      <text>
        <r>
          <rPr>
            <sz val="10"/>
            <rFont val="Arial"/>
            <family val="2"/>
          </rPr>
          <t>Edit or extend as needed.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200-000001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B2" authorId="0" shapeId="0" xr:uid="{00000000-0006-0000-0200-000002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C2" authorId="0" shapeId="0" xr:uid="{00000000-0006-0000-0200-000003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D2" authorId="0" shapeId="0" xr:uid="{00000000-0006-0000-0200-000004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E2" authorId="0" shapeId="0" xr:uid="{00000000-0006-0000-0200-000005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F2" authorId="0" shapeId="0" xr:uid="{00000000-0006-0000-0200-000006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G2" authorId="0" shapeId="0" xr:uid="{00000000-0006-0000-0200-000007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H2" authorId="0" shapeId="0" xr:uid="{00000000-0006-0000-0200-000008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I2" authorId="0" shapeId="0" xr:uid="{00000000-0006-0000-0200-000009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J2" authorId="0" shapeId="0" xr:uid="{00000000-0006-0000-0200-00000A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K2" authorId="0" shapeId="0" xr:uid="{00000000-0006-0000-0200-00000B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L2" authorId="0" shapeId="0" xr:uid="{00000000-0006-0000-0200-00000C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M2" authorId="0" shapeId="0" xr:uid="{00000000-0006-0000-0200-00000D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N2" authorId="0" shapeId="0" xr:uid="{00000000-0006-0000-0200-00000E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O2" authorId="0" shapeId="0" xr:uid="{00000000-0006-0000-0200-00000F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P2" authorId="0" shapeId="0" xr:uid="{00000000-0006-0000-0200-000010000000}">
      <text>
        <r>
          <rPr>
            <sz val="10"/>
            <rFont val="Arial"/>
            <family val="2"/>
          </rPr>
          <t>Add the exact source URL for each hardcoded input in columns P/Q and, if helpful, a brief page reference in Notes.</t>
        </r>
      </text>
    </comment>
    <comment ref="Q2" authorId="0" shapeId="0" xr:uid="{00000000-0006-0000-0200-000011000000}">
      <text>
        <r>
          <rPr>
            <sz val="10"/>
            <rFont val="Arial"/>
            <family val="2"/>
          </rPr>
          <t>Add the exact source URL for each hardcoded input in columns P/Q and, if helpful, a brief page reference in Notes.</t>
        </r>
      </text>
    </comment>
    <comment ref="R2" authorId="0" shapeId="0" xr:uid="{00000000-0006-0000-0200-000012000000}">
      <text>
        <r>
          <rPr>
            <sz val="10"/>
            <rFont val="Arial"/>
            <family val="2"/>
          </rPr>
          <t>Official sources:
Primary: https://www.microsoft.com/investor/reports/ar25/index.html
Secondary: https://www.microsoft.com/en-us/investor/events/fy-2025/earnings-fy-2025-q2
Notes: AI revenue share is a proxy based on the &gt;$13B AI annual run rate disclosed in FY25 Q2, not a reported FY2025 AI revenue line.</t>
        </r>
      </text>
    </comment>
    <comment ref="A3" authorId="0" shapeId="0" xr:uid="{00000000-0006-0000-0200-000013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B3" authorId="0" shapeId="0" xr:uid="{00000000-0006-0000-0200-000014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C3" authorId="0" shapeId="0" xr:uid="{00000000-0006-0000-0200-000015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D3" authorId="0" shapeId="0" xr:uid="{00000000-0006-0000-0200-000016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E3" authorId="0" shapeId="0" xr:uid="{00000000-0006-0000-0200-000017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F3" authorId="0" shapeId="0" xr:uid="{00000000-0006-0000-0200-000018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G3" authorId="0" shapeId="0" xr:uid="{00000000-0006-0000-0200-000019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H3" authorId="0" shapeId="0" xr:uid="{00000000-0006-0000-0200-00001A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I3" authorId="0" shapeId="0" xr:uid="{00000000-0006-0000-0200-00001B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J3" authorId="0" shapeId="0" xr:uid="{00000000-0006-0000-0200-00001C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K3" authorId="0" shapeId="0" xr:uid="{00000000-0006-0000-0200-00001D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L3" authorId="0" shapeId="0" xr:uid="{00000000-0006-0000-0200-00001E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M3" authorId="0" shapeId="0" xr:uid="{00000000-0006-0000-0200-00001F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N3" authorId="0" shapeId="0" xr:uid="{00000000-0006-0000-0200-000020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O3" authorId="0" shapeId="0" xr:uid="{00000000-0006-0000-0200-000021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R3" authorId="0" shapeId="0" xr:uid="{00000000-0006-0000-0200-000022000000}">
      <text>
        <r>
          <rPr>
            <sz val="10"/>
            <rFont val="Arial"/>
            <family val="2"/>
          </rPr>
          <t>Official sources:
Primary: https://s205.q4cdn.com/626266368/files/doc_financials/2025/ar/Salesforce-FY25-Annual-Report.pdf
Secondary: https://investor.salesforce.com/news/news-details/2025/Salesforce-Announces-Fourth-Quarter-and-Fiscal-Year-2025-Results/default.aspx
Notes: Salesforce reports one operating segment; top 3 subscription &amp; support service offerings are shown here. AI revenue share is a proxy based on Data Cloud &amp; AI ARR / FY25 revenue.</t>
        </r>
      </text>
    </comment>
    <comment ref="A4" authorId="0" shapeId="0" xr:uid="{00000000-0006-0000-0200-000023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B4" authorId="0" shapeId="0" xr:uid="{00000000-0006-0000-0200-000024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C4" authorId="0" shapeId="0" xr:uid="{00000000-0006-0000-0200-000025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D4" authorId="0" shapeId="0" xr:uid="{00000000-0006-0000-0200-000026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E4" authorId="0" shapeId="0" xr:uid="{00000000-0006-0000-0200-000027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G4" authorId="0" shapeId="0" xr:uid="{00000000-0006-0000-0200-000028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H4" authorId="0" shapeId="0" xr:uid="{00000000-0006-0000-0200-000029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I4" authorId="0" shapeId="0" xr:uid="{00000000-0006-0000-0200-00002A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J4" authorId="0" shapeId="0" xr:uid="{00000000-0006-0000-0200-00002B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K4" authorId="0" shapeId="0" xr:uid="{00000000-0006-0000-0200-00002C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L4" authorId="0" shapeId="0" xr:uid="{00000000-0006-0000-0200-00002D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M4" authorId="0" shapeId="0" xr:uid="{00000000-0006-0000-0200-00002E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N4" authorId="0" shapeId="0" xr:uid="{00000000-0006-0000-0200-00002F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O4" authorId="0" shapeId="0" xr:uid="{00000000-0006-0000-0200-000030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R4" authorId="0" shapeId="0" xr:uid="{00000000-0006-0000-0200-000031000000}">
      <text>
        <r>
          <rPr>
            <sz val="10"/>
            <rFont val="Arial"/>
            <family val="2"/>
          </rPr>
          <t>Official sources:
Primary: https://www.adobe.com/cc-shared/assets/investor-relations/pdfs/adbe-10k-fy25-final.pdf
Secondary: https://www.adobe.com/cc-shared/assets/investor-relations/pdfs/01215202/a54gu6y5tegrrf.pdf
Notes: No directly disclosed FY2025 AI revenue share; percent field left blank. Adobe will move to one segment in FY2026.</t>
        </r>
      </text>
    </comment>
    <comment ref="A5" authorId="0" shapeId="0" xr:uid="{00000000-0006-0000-0200-000032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B5" authorId="0" shapeId="0" xr:uid="{00000000-0006-0000-0200-000033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C5" authorId="0" shapeId="0" xr:uid="{00000000-0006-0000-0200-000034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D5" authorId="0" shapeId="0" xr:uid="{00000000-0006-0000-0200-000035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E5" authorId="0" shapeId="0" xr:uid="{00000000-0006-0000-0200-000036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F5" authorId="0" shapeId="0" xr:uid="{00000000-0006-0000-0200-000037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G5" authorId="0" shapeId="0" xr:uid="{00000000-0006-0000-0200-000038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H5" authorId="0" shapeId="0" xr:uid="{00000000-0006-0000-0200-000039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I5" authorId="0" shapeId="0" xr:uid="{00000000-0006-0000-0200-00003A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J5" authorId="0" shapeId="0" xr:uid="{00000000-0006-0000-0200-00003B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M5" authorId="0" shapeId="0" xr:uid="{00000000-0006-0000-0200-00003C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N5" authorId="0" shapeId="0" xr:uid="{00000000-0006-0000-0200-00003D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O5" authorId="0" shapeId="0" xr:uid="{00000000-0006-0000-0200-00003E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R5" authorId="0" shapeId="0" xr:uid="{00000000-0006-0000-0200-00003F000000}">
      <text>
        <r>
          <rPr>
            <sz val="10"/>
            <rFont val="Arial"/>
            <family val="2"/>
          </rPr>
          <t>Official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
Notes: ServiceNow's latest full-year data publicly available here is FY2024. Only two revenue lines are disclosed; AI revenue share is a proxy based on Pro Plus AI ACV / FY2024 revenue.</t>
        </r>
      </text>
    </comment>
    <comment ref="A6" authorId="0" shapeId="0" xr:uid="{00000000-0006-0000-0200-000040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B6" authorId="0" shapeId="0" xr:uid="{00000000-0006-0000-0200-000041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C6" authorId="0" shapeId="0" xr:uid="{00000000-0006-0000-0200-000042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D6" authorId="0" shapeId="0" xr:uid="{00000000-0006-0000-0200-000043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E6" authorId="0" shapeId="0" xr:uid="{00000000-0006-0000-0200-000044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G6" authorId="0" shapeId="0" xr:uid="{00000000-0006-0000-0200-000045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H6" authorId="0" shapeId="0" xr:uid="{00000000-0006-0000-0200-000046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I6" authorId="0" shapeId="0" xr:uid="{00000000-0006-0000-0200-000047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J6" authorId="0" shapeId="0" xr:uid="{00000000-0006-0000-0200-000048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K6" authorId="0" shapeId="0" xr:uid="{00000000-0006-0000-0200-000049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L6" authorId="0" shapeId="0" xr:uid="{00000000-0006-0000-0200-00004A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M6" authorId="0" shapeId="0" xr:uid="{00000000-0006-0000-0200-00004B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N6" authorId="0" shapeId="0" xr:uid="{00000000-0006-0000-0200-00004C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O6" authorId="0" shapeId="0" xr:uid="{00000000-0006-0000-0200-00004D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R6" authorId="0" shapeId="0" xr:uid="{00000000-0006-0000-0200-00004E000000}">
      <text>
        <r>
          <rPr>
            <sz val="10"/>
            <rFont val="Arial"/>
            <family val="2"/>
          </rPr>
          <t>Official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
Notes: FY2026 combines Consumer, Credit Karma and ProTax into one Consumer segment; FY2025 segment view retained. No directly disclosed FY2025 AI revenue share.</t>
        </r>
      </text>
    </comment>
    <comment ref="A7" authorId="0" shapeId="0" xr:uid="{00000000-0006-0000-0200-00004F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B7" authorId="0" shapeId="0" xr:uid="{00000000-0006-0000-0200-000050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C7" authorId="0" shapeId="0" xr:uid="{00000000-0006-0000-0200-000051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D7" authorId="0" shapeId="0" xr:uid="{00000000-0006-0000-0200-000052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E7" authorId="0" shapeId="0" xr:uid="{00000000-0006-0000-0200-000053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G7" authorId="0" shapeId="0" xr:uid="{00000000-0006-0000-0200-000054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H7" authorId="0" shapeId="0" xr:uid="{00000000-0006-0000-0200-000055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I7" authorId="0" shapeId="0" xr:uid="{00000000-0006-0000-0200-000056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J7" authorId="0" shapeId="0" xr:uid="{00000000-0006-0000-0200-000057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M7" authorId="0" shapeId="0" xr:uid="{00000000-0006-0000-0200-000058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N7" authorId="0" shapeId="0" xr:uid="{00000000-0006-0000-0200-000059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O7" authorId="0" shapeId="0" xr:uid="{00000000-0006-0000-0200-00005A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  <comment ref="R7" authorId="0" shapeId="0" xr:uid="{00000000-0006-0000-0200-00005B000000}">
      <text>
        <r>
          <rPr>
            <sz val="10"/>
            <rFont val="Arial"/>
            <family val="2"/>
          </rPr>
          <t>Official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
Notes: Palantir discloses revenue by Government and Commercial customers. No directly disclosed AI-only revenue share because AI is embedded across offerings.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2" authorId="0" shapeId="0" xr:uid="{00000000-0006-0000-0300-000001000000}">
      <text>
        <r>
          <rPr>
            <sz val="10"/>
            <rFont val="Arial"/>
            <family val="2"/>
          </rPr>
          <t>Basis sources:
Primary: https://www.microsoft.com/investor/reports/ar25/index.html
Secondary: https://www.microsoft.com/en-us/investor/events/fy-2025/earnings-fy-2025-q2</t>
        </r>
      </text>
    </comment>
    <comment ref="L3" authorId="0" shapeId="0" xr:uid="{00000000-0006-0000-0300-000002000000}">
      <text>
        <r>
          <rPr>
            <sz val="10"/>
            <rFont val="Arial"/>
            <family val="2"/>
          </rPr>
          <t>Basis sources:
Primary: https://www.microsoft.com/investor/reports/ar25/index.html
Secondary: https://www.microsoft.com/en-us/investor/events/fy-2025/earnings-fy-2025-q2</t>
        </r>
      </text>
    </comment>
    <comment ref="L4" authorId="0" shapeId="0" xr:uid="{00000000-0006-0000-0300-000003000000}">
      <text>
        <r>
          <rPr>
            <sz val="10"/>
            <rFont val="Arial"/>
            <family val="2"/>
          </rPr>
          <t>Basis sources:
Primary: https://www.microsoft.com/investor/reports/ar25/index.html
Secondary: https://www.microsoft.com/en-us/investor/events/fy-2025/earnings-fy-2025-q2</t>
        </r>
      </text>
    </comment>
    <comment ref="L5" authorId="0" shapeId="0" xr:uid="{00000000-0006-0000-0300-000004000000}">
      <text>
        <r>
          <rPr>
            <sz val="10"/>
            <rFont val="Arial"/>
            <family val="2"/>
          </rPr>
          <t>Basis sources:
Primary: https://s205.q4cdn.com/626266368/files/doc_financials/2025/ar/Salesforce-FY25-Annual-Report.pdf
Secondary: https://investor.salesforce.com/news/news-details/2025/Salesforce-Announces-Fourth-Quarter-and-Fiscal-Year-2025-Results/default.aspx</t>
        </r>
      </text>
    </comment>
    <comment ref="L6" authorId="0" shapeId="0" xr:uid="{00000000-0006-0000-0300-000005000000}">
      <text>
        <r>
          <rPr>
            <sz val="10"/>
            <rFont val="Arial"/>
            <family val="2"/>
          </rPr>
          <t>Basis sources:
Primary: https://s205.q4cdn.com/626266368/files/doc_financials/2025/ar/Salesforce-FY25-Annual-Report.pdf
Secondary: https://investor.salesforce.com/news/news-details/2025/Salesforce-Announces-Fourth-Quarter-and-Fiscal-Year-2025-Results/default.aspx</t>
        </r>
      </text>
    </comment>
    <comment ref="L7" authorId="0" shapeId="0" xr:uid="{00000000-0006-0000-0300-000006000000}">
      <text>
        <r>
          <rPr>
            <sz val="10"/>
            <rFont val="Arial"/>
            <family val="2"/>
          </rPr>
          <t>Basis sources:
Primary: https://s205.q4cdn.com/626266368/files/doc_financials/2025/ar/Salesforce-FY25-Annual-Report.pdf
Secondary: https://investor.salesforce.com/news/news-details/2025/Salesforce-Announces-Fourth-Quarter-and-Fiscal-Year-2025-Results/default.aspx</t>
        </r>
      </text>
    </comment>
    <comment ref="L8" authorId="0" shapeId="0" xr:uid="{00000000-0006-0000-0300-000007000000}">
      <text>
        <r>
          <rPr>
            <sz val="10"/>
            <rFont val="Arial"/>
            <family val="2"/>
          </rPr>
          <t>Basis sources:
Primary: https://www.adobe.com/cc-shared/assets/investor-relations/pdfs/adbe-10k-fy25-final.pdf
Secondary: https://www.adobe.com/cc-shared/assets/investor-relations/pdfs/01215202/a54gu6y5tegrrf.pdf</t>
        </r>
      </text>
    </comment>
    <comment ref="L9" authorId="0" shapeId="0" xr:uid="{00000000-0006-0000-0300-000008000000}">
      <text>
        <r>
          <rPr>
            <sz val="10"/>
            <rFont val="Arial"/>
            <family val="2"/>
          </rPr>
          <t>Basis sources:
Primary: https://www.adobe.com/cc-shared/assets/investor-relations/pdfs/adbe-10k-fy25-final.pdf
Secondary: https://www.adobe.com/cc-shared/assets/investor-relations/pdfs/01215202/a54gu6y5tegrrf.pdf</t>
        </r>
      </text>
    </comment>
    <comment ref="L10" authorId="0" shapeId="0" xr:uid="{00000000-0006-0000-0300-000009000000}">
      <text>
        <r>
          <rPr>
            <sz val="10"/>
            <rFont val="Arial"/>
            <family val="2"/>
          </rPr>
          <t>Basis sources:
Primary: https://www.adobe.com/cc-shared/assets/investor-relations/pdfs/adbe-10k-fy25-final.pdf
Secondary: https://www.adobe.com/cc-shared/assets/investor-relations/pdfs/01215202/a54gu6y5tegrrf.pdf</t>
        </r>
      </text>
    </comment>
    <comment ref="L11" authorId="0" shapeId="0" xr:uid="{00000000-0006-0000-0300-00000A000000}">
      <text>
        <r>
          <rPr>
            <sz val="10"/>
            <rFont val="Arial"/>
            <family val="2"/>
          </rPr>
          <t>Basis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</t>
        </r>
      </text>
    </comment>
    <comment ref="L12" authorId="0" shapeId="0" xr:uid="{00000000-0006-0000-0300-00000B000000}">
      <text>
        <r>
          <rPr>
            <sz val="10"/>
            <rFont val="Arial"/>
            <family val="2"/>
          </rPr>
          <t>Basis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</t>
        </r>
      </text>
    </comment>
    <comment ref="L13" authorId="0" shapeId="0" xr:uid="{00000000-0006-0000-0300-00000C000000}">
      <text>
        <r>
          <rPr>
            <sz val="10"/>
            <rFont val="Arial"/>
            <family val="2"/>
          </rPr>
          <t>Basis sources:
Primary: https://newsroom.servicenow.com/press-releases/details/2025/ServiceNow-Reports-Fourth-Quarter-and-Full-Year-2024-Financial-Results-01-29-2025-traffic/default.aspx
Secondary: https://newsroom.servicenow.com/press-releases/details/2025/ServiceNow-to-extend-leading-agentic-AI-to-every-employee-for-every-corner-of-the-business-with-acquisition-of-Moveworks-03-10-2025-traffic/default.aspx</t>
        </r>
      </text>
    </comment>
    <comment ref="L14" authorId="0" shapeId="0" xr:uid="{00000000-0006-0000-0300-00000D000000}">
      <text>
        <r>
          <rPr>
            <sz val="10"/>
            <rFont val="Arial"/>
            <family val="2"/>
          </rPr>
          <t>Basis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</t>
        </r>
      </text>
    </comment>
    <comment ref="L15" authorId="0" shapeId="0" xr:uid="{00000000-0006-0000-0300-00000E000000}">
      <text>
        <r>
          <rPr>
            <sz val="10"/>
            <rFont val="Arial"/>
            <family val="2"/>
          </rPr>
          <t>Basis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</t>
        </r>
      </text>
    </comment>
    <comment ref="L16" authorId="0" shapeId="0" xr:uid="{00000000-0006-0000-0300-00000F000000}">
      <text>
        <r>
          <rPr>
            <sz val="10"/>
            <rFont val="Arial"/>
            <family val="2"/>
          </rPr>
          <t>Basis sources:
Primary: https://investors.intuit.com/sec-filings/all-sec-filings/content/0000896878-25-000035/0000896878-25-000035.pdf
Secondary: https://investors.intuit.com/news-events/press-releases/detail/1254/intuit-supercharges-genos-for-delivery-of-done-for-you-agentic-ai-experiences-to-~100-million-consumers-businesses</t>
        </r>
      </text>
    </comment>
    <comment ref="L17" authorId="0" shapeId="0" xr:uid="{00000000-0006-0000-0300-000010000000}">
      <text>
        <r>
          <rPr>
            <sz val="10"/>
            <rFont val="Arial"/>
            <family val="2"/>
          </rPr>
          <t>Basis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</t>
        </r>
      </text>
    </comment>
    <comment ref="L18" authorId="0" shapeId="0" xr:uid="{00000000-0006-0000-0300-000011000000}">
      <text>
        <r>
          <rPr>
            <sz val="10"/>
            <rFont val="Arial"/>
            <family val="2"/>
          </rPr>
          <t>Basis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</t>
        </r>
      </text>
    </comment>
    <comment ref="L19" authorId="0" shapeId="0" xr:uid="{00000000-0006-0000-0300-000012000000}">
      <text>
        <r>
          <rPr>
            <sz val="10"/>
            <rFont val="Arial"/>
            <family val="2"/>
          </rPr>
          <t>Basis sources:
Primary: https://investors.palantir.com/files/2025%20FY%20PLTR%2010-K.pdf
Secondary: https://investors.palantir.com/news-details/2026/Palantir-Reports-Q4-2025-U-S--Comm-Revenue-Growth-of-137-YY-and-Revenue-Growth-of-70-YY-Issues-FY-2026-Revenue-Guidance-of-61-YY-and-U-S--Comm-Revenue-Guidance-of-115-YY-Crushing-Consensus-Expectations/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400-000001000000}">
      <text>
        <r>
          <rPr>
            <sz val="10"/>
            <rFont val="Arial"/>
            <family val="2"/>
          </rPr>
          <t>Pick Low, Base, or High. The model pulls assumptions from the Assumptions sheet.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500-000001000000}">
      <text>
        <r>
          <rPr>
            <sz val="10"/>
            <rFont val="Arial"/>
            <family val="2"/>
          </rPr>
          <t>2026 AI share = AI uplift ÷ net revenue. Adjust the methodology if you prefer a broader AI-influenced definition.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600-000001000000}">
      <text>
        <r>
          <rPr>
            <sz val="10"/>
            <rFont val="Arial"/>
            <family val="2"/>
          </rPr>
          <t>Charts are for presentation only; use Scenario_Model and Revenue_Mix as the underlying source tabs.</t>
        </r>
      </text>
    </comment>
  </commentList>
</comments>
</file>

<file path=xl/sharedStrings.xml><?xml version="1.0" encoding="utf-8"?>
<sst xmlns="http://schemas.openxmlformats.org/spreadsheetml/2006/main" count="476" uniqueCount="311">
  <si>
    <t>Company</t>
  </si>
  <si>
    <t>Ticker</t>
  </si>
  <si>
    <t>Category</t>
  </si>
  <si>
    <t>Why selected</t>
  </si>
  <si>
    <t>Main AI monetization angle</t>
  </si>
  <si>
    <t>Priority (1-6)</t>
  </si>
  <si>
    <t>Include?</t>
  </si>
  <si>
    <t>Microsoft</t>
  </si>
  <si>
    <t>MSFT</t>
  </si>
  <si>
    <t>Cloud / Productivity</t>
  </si>
  <si>
    <t>Scale + clear AI monetization across Azure and Copilot</t>
  </si>
  <si>
    <t>Add-on pricing + usage-based cloud consumption</t>
  </si>
  <si>
    <t>Yes</t>
  </si>
  <si>
    <t>Salesforce</t>
  </si>
  <si>
    <t>CRM</t>
  </si>
  <si>
    <t>CRM / Workflow</t>
  </si>
  <si>
    <t>Strong agentic AI / digital labor thesis</t>
  </si>
  <si>
    <t>AI add-on + upsell within installed base</t>
  </si>
  <si>
    <t>Adobe</t>
  </si>
  <si>
    <t>ADBE</t>
  </si>
  <si>
    <t>Creative / Document Software</t>
  </si>
  <si>
    <t>Good revenue mix shift case via Firefly / credits</t>
  </si>
  <si>
    <t>Credits + premium subscription mix</t>
  </si>
  <si>
    <t>ServiceNow</t>
  </si>
  <si>
    <t>NOW</t>
  </si>
  <si>
    <t>Workflow / Automation</t>
  </si>
  <si>
    <t>Enterprise workflow AI upsell opportunity</t>
  </si>
  <si>
    <t>AI workflow upsell + platform expansion</t>
  </si>
  <si>
    <t>Intuit</t>
  </si>
  <si>
    <t>INTU</t>
  </si>
  <si>
    <t>SMB / Financial Software</t>
  </si>
  <si>
    <t>Differentiated finance workflow AI case</t>
  </si>
  <si>
    <t>Higher ARPC / service bundle monetization</t>
  </si>
  <si>
    <t>Palantir</t>
  </si>
  <si>
    <t>PLTR</t>
  </si>
  <si>
    <t>AI Platform</t>
  </si>
  <si>
    <t>Clear AIP platform deployment story</t>
  </si>
  <si>
    <t>Platform expansion + enterprise adoption</t>
  </si>
  <si>
    <t>Fiscal_Year</t>
  </si>
  <si>
    <t>Revenue_2025_USD_Bn</t>
  </si>
  <si>
    <t>Operating_Income_2025_USD_Bn</t>
  </si>
  <si>
    <t>Existing_AI_Revenue_Share_2025_%</t>
  </si>
  <si>
    <t>Segment_1_Name</t>
  </si>
  <si>
    <t>Segment_1_Revenue_USD_Bn</t>
  </si>
  <si>
    <t>Segment_2_Name</t>
  </si>
  <si>
    <t>Segment_2_Revenue_USD_Bn</t>
  </si>
  <si>
    <t>Segment_3_Name</t>
  </si>
  <si>
    <t>Segment_3_Revenue_USD_Bn</t>
  </si>
  <si>
    <t>Main_AI_Products</t>
  </si>
  <si>
    <t>AI_Monetization_Model</t>
  </si>
  <si>
    <t>Recent_AI_Proxy</t>
  </si>
  <si>
    <t>Primary_Source_URL</t>
  </si>
  <si>
    <t>Secondary_Source_URL</t>
  </si>
  <si>
    <t>Notes</t>
  </si>
  <si>
    <t>FY2025</t>
  </si>
  <si>
    <t>Productivity and Business Processes</t>
  </si>
  <si>
    <t>Intelligent Cloud</t>
  </si>
  <si>
    <t>More Personal Computing</t>
  </si>
  <si>
    <t>Azure AI; Microsoft 365 Copilot; GitHub Copilot; Dynamics 365 Copilot</t>
  </si>
  <si>
    <t>Usage-based cloud consumption; seat-based add-on/premium upsell</t>
  </si>
  <si>
    <t>AI run-rate &gt;$13B; Azure growth included 13 pts from AI services in FY25 Q2</t>
  </si>
  <si>
    <t>https://www.microsoft.com/investor/reports/ar25/index.html</t>
  </si>
  <si>
    <t>https://www.microsoft.com/en-us/investor/events/fy-2025/earnings-fy-2025-q2</t>
  </si>
  <si>
    <t>AI revenue share is a proxy based on the &gt;$13B AI annual run rate disclosed in FY25 Q2, not a reported FY2025 AI revenue line.</t>
  </si>
  <si>
    <t>Service</t>
  </si>
  <si>
    <t>Sales</t>
  </si>
  <si>
    <t>Platform and Other</t>
  </si>
  <si>
    <t>Agentforce; Data Cloud; Einstein</t>
  </si>
  <si>
    <t>ARR add-on; platform upsell; cross-sell into Customer 360</t>
  </si>
  <si>
    <t>$900M Data Cloud &amp; AI ARR; 5,000 Agentforce deals, including &gt;3,000 paid</t>
  </si>
  <si>
    <t>https://s205.q4cdn.com/626266368/files/doc_financials/2025/ar/Salesforce-FY25-Annual-Report.pdf</t>
  </si>
  <si>
    <t>https://investor.salesforce.com/news/news-details/2025/Salesforce-Announces-Fourth-Quarter-and-Fiscal-Year-2025-Results/default.aspx</t>
  </si>
  <si>
    <t>Salesforce reports one operating segment; top 3 subscription &amp; support service offerings are shown here. AI revenue share is a proxy based on Data Cloud &amp; AI ARR / FY25 revenue.</t>
  </si>
  <si>
    <t>Digital Media</t>
  </si>
  <si>
    <t>Digital Experience</t>
  </si>
  <si>
    <t>Publishing and Advertising</t>
  </si>
  <si>
    <t>Firefly; Acrobat AI Assistant; GenStudio</t>
  </si>
  <si>
    <t>Tiered Firefly subscriptions; generative credits; premium upsell</t>
  </si>
  <si>
    <t>FY2025 delivered significant AI-influenced and AI-first ending ARR; Firefly sold via Standard/Pro/Premium plans</t>
  </si>
  <si>
    <t>https://www.adobe.com/cc-shared/assets/investor-relations/pdfs/adbe-10k-fy25-final.pdf</t>
  </si>
  <si>
    <t>https://www.adobe.com/cc-shared/assets/investor-relations/pdfs/01215202/a54gu6y5tegrrf.pdf</t>
  </si>
  <si>
    <t>No directly disclosed FY2025 AI revenue share; percent field left blank. Adobe will move to one segment in FY2026.</t>
  </si>
  <si>
    <t>FY2024</t>
  </si>
  <si>
    <t>Subscription revenues</t>
  </si>
  <si>
    <t>Professional services and other</t>
  </si>
  <si>
    <t>Now Assist; AI Agent Orchestrator; AI Agent Studio; Pro Plus AI</t>
  </si>
  <si>
    <t>Pro Plus / Enterprise Plus upsell; platform subscription expansion</t>
  </si>
  <si>
    <t>GenAI net new ACV stepped up in Q4; Now Assist service desk deals +150% QoQ; Pro Plus AI ACV &gt;$200M; nearly 1,000 AI customers</t>
  </si>
  <si>
    <t>https://newsroom.servicenow.com/press-releases/details/2025/ServiceNow-Reports-Fourth-Quarter-and-Full-Year-2024-Financial-Results-01-29-2025-traffic/default.aspx</t>
  </si>
  <si>
    <t>https://newsroom.servicenow.com/press-releases/details/2025/ServiceNow-to-extend-leading-agentic-AI-to-every-employee-for-every-corner-of-the-business-with-acquisition-of-Moveworks-03-10-2025-traffic/default.aspx</t>
  </si>
  <si>
    <t>ServiceNow's latest full-year data publicly available here is FY2024. Only two revenue lines are disclosed; AI revenue share is a proxy based on Pro Plus AI ACV / FY2024 revenue.</t>
  </si>
  <si>
    <t>Global Business Solutions</t>
  </si>
  <si>
    <t>Consumer</t>
  </si>
  <si>
    <t>Credit Karma</t>
  </si>
  <si>
    <t>GenOS; Intuit Assist; QuickBooks AI agents; TurboTax AI</t>
  </si>
  <si>
    <t>Higher ARPR / assist upsell; platform expansion; agentic automation</t>
  </si>
  <si>
    <t>GenOS supports done-for-you agentic AI for ~100M customers; AI agents introduced across the business platform</t>
  </si>
  <si>
    <t>https://investors.intuit.com/sec-filings/all-sec-filings/content/0000896878-25-000035/0000896878-25-000035.pdf</t>
  </si>
  <si>
    <t>https://investors.intuit.com/news-events/press-releases/detail/1254/intuit-supercharges-genos-for-delivery-of-done-for-you-agentic-ai-experiences-to-~100-million-consumers-businesses</t>
  </si>
  <si>
    <t>FY2026 combines Consumer, Credit Karma and ProTax into one Consumer segment; FY2025 segment view retained. No directly disclosed FY2025 AI revenue share.</t>
  </si>
  <si>
    <t>Government</t>
  </si>
  <si>
    <t>Commercial</t>
  </si>
  <si>
    <t>AIP; Foundry; Gotham</t>
  </si>
  <si>
    <t>Platform subscriptions; deployment expansion; bootcamp-led conversion and expansion</t>
  </si>
  <si>
    <t>AIP bootcamps deliver workflows on actual customer data in days; commercial remaining deal value $6.8B (+117% YoY)</t>
  </si>
  <si>
    <t>https://investors.palantir.com/files/2025%20FY%20PLTR%2010-K.pdf</t>
  </si>
  <si>
    <t>https://investors.palantir.com/news-details/2026/Palantir-Reports-Q4-2025-U-S--Comm-Revenue-Growth-of-137-YY-and-Revenue-Growth-of-70-YY-Issues-FY-2026-Revenue-Guidance-of-61-YY-and-U-S--Comm-Revenue-Guidance-of-115-YY-Crushing-Consensus-Expectations/</t>
  </si>
  <si>
    <t>Palantir discloses revenue by Government and Commercial customers. No directly disclosed AI-only revenue share because AI is embedded across offerings.</t>
  </si>
  <si>
    <t>Scenario</t>
  </si>
  <si>
    <t>Baseline_Growth_2026_%</t>
  </si>
  <si>
    <t>Baseline_Growth_2027_%</t>
  </si>
  <si>
    <t>AI_Exposed_Revenue_%</t>
  </si>
  <si>
    <t>AI_Adoption_2026_%</t>
  </si>
  <si>
    <t>AI_Adoption_2027_%</t>
  </si>
  <si>
    <t>Monetization_Yield_2026_%</t>
  </si>
  <si>
    <t>Monetization_Yield_2027_%</t>
  </si>
  <si>
    <t>Cannibalization_2026_%</t>
  </si>
  <si>
    <t>Cannibalization_2027_%</t>
  </si>
  <si>
    <t>Assumption_Notes</t>
  </si>
  <si>
    <t>Low</t>
  </si>
  <si>
    <t>Low case: Azure AI demand remains strong but Copilot attach stays gradual; limited premium realization and some bundling friction.</t>
  </si>
  <si>
    <t>Base</t>
  </si>
  <si>
    <t>Base case: Azure AI consumption and Copilot penetration expand across M365, GitHub and Dynamics with manageable bundling pressure.</t>
  </si>
  <si>
    <t>High</t>
  </si>
  <si>
    <t>High case: broader Copilot adoption, stronger premium mix and faster Azure AI usage growth across the enterprise base.</t>
  </si>
  <si>
    <t>Low case: Agentforce pilots convert slowly and AI remains concentrated in larger accounts with modest wallet-share gains.</t>
  </si>
  <si>
    <t>Base case: Agentforce, Data Cloud and Einstein drive attach within Customer 360; paid deal conversion supports upsell and expansion.</t>
  </si>
  <si>
    <t>High case: digital labor adoption accelerates, Data Cloud becomes a broader prerequisite and AI upsell spreads across the installed base.</t>
  </si>
  <si>
    <t>Low case: Firefly and Acrobat AI usage rises, but monetization is partly offset by credits included in existing plans.</t>
  </si>
  <si>
    <t>Base case: Firefly subscriptions, credit overages and Acrobat AI Assistant gradually lift ARPU while some features become table stakes.</t>
  </si>
  <si>
    <t>High case: stronger creator and enterprise uptake of Firefly, Express and GenStudio drives meaningful premium-plan and usage-based mix shift.</t>
  </si>
  <si>
    <t>Low case: Now Assist and AI agents expand mainly through selected workflows; enterprise rollout stays measured despite strong core demand.</t>
  </si>
  <si>
    <t>Base case: Pro Plus / Enterprise Plus and agentic AI broaden within existing workflow customers, lifting subscription expansion.</t>
  </si>
  <si>
    <t>High case: AI agents become a larger platform standard, adoption spreads beyond service workflows and premium-tier migration accelerates.</t>
  </si>
  <si>
    <t>Low case: Intuit Assist and AI agents improve retention and ARPR gradually, with SMB adoption constrained by rollout and behavior change.</t>
  </si>
  <si>
    <t>Base case: GenOS and QuickBooks / TurboTax AI tools drive attach, higher ARPR and workflow automation across consumers and SMBs.</t>
  </si>
  <si>
    <t>High case: done-for-you agentic experiences gain traction, driving stronger ecosystem monetization and premium mix expansion.</t>
  </si>
  <si>
    <t>Low case: AIP bootcamps still convert, but deployments and expansions normalize from a very strong base.</t>
  </si>
  <si>
    <t>Base case: AIP-led platform adoption continues across commercial and government customers with strong expansion economics.</t>
  </si>
  <si>
    <t>High case: AIP becomes a major enterprise deployment standard, sustaining very high conversion and expansion from new and existing accounts.</t>
  </si>
  <si>
    <t>Selected Scenario</t>
  </si>
  <si>
    <t>Tip: update Assumptions sheet, then switch scenario here.</t>
  </si>
  <si>
    <t>Revenue_2025</t>
  </si>
  <si>
    <t>Base_Growth_2026_%</t>
  </si>
  <si>
    <t>AI_Exposed_%</t>
  </si>
  <si>
    <t>Revenue_2026_Baseline</t>
  </si>
  <si>
    <t>AI_Base_2026</t>
  </si>
  <si>
    <t>Adoption_2026_%</t>
  </si>
  <si>
    <t>Monetization_2026_%</t>
  </si>
  <si>
    <t>AI_Uplift_2026</t>
  </si>
  <si>
    <t>Cannibalization_2026</t>
  </si>
  <si>
    <t>Net_Revenue_2026</t>
  </si>
  <si>
    <t>Base_Growth_2027_%</t>
  </si>
  <si>
    <t>Revenue_2027_Baseline</t>
  </si>
  <si>
    <t>AI_Base_2027</t>
  </si>
  <si>
    <t>Adoption_2027_%</t>
  </si>
  <si>
    <t>Monetization_2027_%</t>
  </si>
  <si>
    <t>AI_Uplift_2027</t>
  </si>
  <si>
    <t>Cannibalization_2027</t>
  </si>
  <si>
    <t>Net_Revenue_2027</t>
  </si>
  <si>
    <t>Total</t>
  </si>
  <si>
    <t>Review point:</t>
  </si>
  <si>
    <t>If cannibalization exceeds AI uplift or net revenue looks flat, revise the underlying scenario assumptions.</t>
  </si>
  <si>
    <t>Revenue Mix View</t>
  </si>
  <si>
    <t>Revenue Mix Insights (Base Scenario)</t>
  </si>
  <si>
    <t>Selected scenario follows Scenario_Model!B1</t>
  </si>
  <si>
    <t>2027 AI share is modeled as the 2025 AI proxy plus incremental AI uplift share from 2026–2027.</t>
  </si>
  <si>
    <t>AI_Share_2025_%</t>
  </si>
  <si>
    <t>Legacy_Share_2025_%</t>
  </si>
  <si>
    <t>AI_Share_2026_%</t>
  </si>
  <si>
    <t>Legacy_Share_2026_%</t>
  </si>
  <si>
    <t>AI_Share_2027_%</t>
  </si>
  <si>
    <t>Legacy_Share_2027_%</t>
  </si>
  <si>
    <t>Shift_in_AI_Share_2027_vs_2025_%</t>
  </si>
  <si>
    <t>AI Share 2025</t>
  </si>
  <si>
    <t>AI Share 2027</t>
  </si>
  <si>
    <t>Shift (pts)</t>
  </si>
  <si>
    <t>Interpretation</t>
  </si>
  <si>
    <t>Largest absolute AI uplift, but mix shift is modest because the revenue base is very large.</t>
  </si>
  <si>
    <t>Clear agentic AI monetization story; AI share expands through Agentforce and Data Cloud upsell.</t>
  </si>
  <si>
    <t>Mix shifts gradually through Firefly plans, credits, and AI-enhanced premium subscriptions.</t>
  </si>
  <si>
    <t>Strong relative mix improvement driven by Now Assist / Pro Plus AI expansion inside existing workflows.</t>
  </si>
  <si>
    <t>Moderate mix shift as AI becomes embedded across SMB finance, tax, and assist workflows.</t>
  </si>
  <si>
    <t>Biggest mix shift in the model, helped by high AI exposure and a smaller starting revenue base.</t>
  </si>
  <si>
    <t>Top Takeaways</t>
  </si>
  <si>
    <t>• Microsoft delivers the largest absolute 2027 AI uplift, while Palantir shows the biggest modeled mix shift.</t>
  </si>
  <si>
    <t>• Salesforce and ServiceNow show the strongest enterprise-software mix expansion from agentic/workflow AI upsell.</t>
  </si>
  <si>
    <t>• Adobe and Intuit show steadier mix change because monetization is tied more to plan upgrades and workflow embedment than pure consumption.</t>
  </si>
  <si>
    <t>Charts are linked to Scenario_Model and Revenue_Mix. Scenario comparison uses helper formulas for Low/Base/High 2027 outcomes.</t>
  </si>
  <si>
    <t>Low_2027</t>
  </si>
  <si>
    <t>Base_2027</t>
  </si>
  <si>
    <t>High_2027</t>
  </si>
  <si>
    <t>Note: Revenue figures shown in USD billions; scenario comparison is calculated from the Assumptions sheet and does not depend on the selected scenario in Scenario_Model.</t>
  </si>
  <si>
    <t>Data_Point</t>
  </si>
  <si>
    <t>Value_or_Quote</t>
  </si>
  <si>
    <t>Source_Type</t>
  </si>
  <si>
    <t>URL</t>
  </si>
  <si>
    <t>Filing_Page_or_Note</t>
  </si>
  <si>
    <t>Verified_(Y/N)</t>
  </si>
  <si>
    <t>FY2025 revenue / segment mix / AI proxy</t>
  </si>
  <si>
    <t>Revenue $281.7B; operating income $128.5B; Azure &gt;$75B. AI run-rate &gt;$13B and Azure AI added 13 pts to Azure growth in FY25 Q2.</t>
  </si>
  <si>
    <t>Annual report + earnings call</t>
  </si>
  <si>
    <t>Microsoft FY2025 annual report; FY25 Q2 earnings call</t>
  </si>
  <si>
    <t>Y</t>
  </si>
  <si>
    <t>FY2025 revenue / top cloud offerings / AI proxy</t>
  </si>
  <si>
    <t>FY25 revenue $37.9B; subscription &amp; support $35.7B. Data Cloud &amp; AI ARR $900M and 5,000 Agentforce deals.</t>
  </si>
  <si>
    <t>Annual report + earnings release</t>
  </si>
  <si>
    <t>FY25 annual report and FY25 Q4 results</t>
  </si>
  <si>
    <t>FY2025 revenue / segments / AI proxy</t>
  </si>
  <si>
    <t>FY2025 revenue $23.77B; Digital Media $17.65B; Digital Experience $5.86B. AI-influenced and AI-first ARR accelerated.</t>
  </si>
  <si>
    <t>10-K + earnings release</t>
  </si>
  <si>
    <t>FY2025 10-K and Q4 FY2025 earnings release</t>
  </si>
  <si>
    <t>FY2024 revenue / AI proxy</t>
  </si>
  <si>
    <t>FY2024 revenue $10.98B; subscription revenue $10.65B. Pro Plus AI ACV &gt;$200M; nearly 1,000 AI customers.</t>
  </si>
  <si>
    <t>Earnings release + AI press release</t>
  </si>
  <si>
    <t>Q4/FY2024 results and Mar 2025 Moveworks announcement</t>
  </si>
  <si>
    <t>FY2025 revenue $18.83B; GBS $11.08B; Consumer $4.87B. GenOS supports ~100M customers and agentic AI rollout.</t>
  </si>
  <si>
    <t>10-K + AI press release</t>
  </si>
  <si>
    <t>FY2025 10-K and Jun 2025 GenOS press release</t>
  </si>
  <si>
    <t>FY2025 revenue / customer mix / AI proxy</t>
  </si>
  <si>
    <t>FY2025 revenue $4.48B; Government $2.40B; Commercial $2.07B. AIP bootcamps enable real workflows in days.</t>
  </si>
  <si>
    <t>FY2025 10-K and Q4 2025 results release</t>
  </si>
  <si>
    <t>Secondary URL</t>
  </si>
  <si>
    <t>FY25 Q2 earnings call</t>
  </si>
  <si>
    <t>IR event</t>
  </si>
  <si>
    <t>AI proxy lines</t>
  </si>
  <si>
    <t>FY25 annual report PDF</t>
  </si>
  <si>
    <t>Annual report</t>
  </si>
  <si>
    <t>Revenue and service offering detail</t>
  </si>
  <si>
    <t>Q4 FY2025 earnings release PDF</t>
  </si>
  <si>
    <t>Earnings release</t>
  </si>
  <si>
    <t>Operating income and AI commentary</t>
  </si>
  <si>
    <t>Moveworks / AI customer metric release</t>
  </si>
  <si>
    <t>Press release</t>
  </si>
  <si>
    <t>AI customers and Pro Plus ACV</t>
  </si>
  <si>
    <t>GenOS agentic AI release</t>
  </si>
  <si>
    <t>Agentic AI product detail</t>
  </si>
  <si>
    <t>Q4 2025 results release</t>
  </si>
  <si>
    <t>Recent momentum / guidance</t>
  </si>
  <si>
    <t>Step</t>
  </si>
  <si>
    <t>Prompt_or_Task</t>
  </si>
  <si>
    <t>Tool_Used</t>
  </si>
  <si>
    <t>Output_Summary</t>
  </si>
  <si>
    <t>Company selection</t>
  </si>
  <si>
    <t>Suggest 6 US-listed software companies with visible AI monetization</t>
  </si>
  <si>
    <t>ChatGPT</t>
  </si>
  <si>
    <t>Initial shortlist created</t>
  </si>
  <si>
    <t>Data collection</t>
  </si>
  <si>
    <t>Summarize Microsoft FY2025 revenue and segment data</t>
  </si>
  <si>
    <t>Draft summary produced</t>
  </si>
  <si>
    <t>Company universe refinement (illustrative)</t>
  </si>
  <si>
    <t>Review whether Microsoft, Salesforce, Adobe, ServiceNow, Intuit, and Palantir provide a balanced AI monetization peer set</t>
  </si>
  <si>
    <t>Peer screening / ChatGPT</t>
  </si>
  <si>
    <t>Illustrative sample: peer set rationale refined for scale, SaaS mix, and visible AI monetization signals</t>
  </si>
  <si>
    <t>Revenue base extraction (illustrative)</t>
  </si>
  <si>
    <t>Pull latest reported annual revenue and operating income for each selected company</t>
  </si>
  <si>
    <t>SEC / IR filings review</t>
  </si>
  <si>
    <t>Illustrative sample: base financial inputs identified for model seeding</t>
  </si>
  <si>
    <t>Segment mapping (illustrative)</t>
  </si>
  <si>
    <t>Capture segment revenue mix from filings for each company to understand where AI could be embedded</t>
  </si>
  <si>
    <t>Annual reports / Excel</t>
  </si>
  <si>
    <t>Illustrative sample: major operating segments mapped into Raw_Data tab</t>
  </si>
  <si>
    <t>AI product inventory (illustrative)</t>
  </si>
  <si>
    <t>List main GenAI / agentic AI products for each company and summarize their commercial relevance</t>
  </si>
  <si>
    <t>Product pages / Earnings commentary</t>
  </si>
  <si>
    <t>Illustrative sample: AI product set documented for business context</t>
  </si>
  <si>
    <t>Monetization model mapping (illustrative)</t>
  </si>
  <si>
    <t>Classify each company's AI monetization as add-on, bundled upsell, usage-based, seat-based, or platform expansion</t>
  </si>
  <si>
    <t>Manual review / ChatGPT</t>
  </si>
  <si>
    <t>Illustrative sample: monetization pathways standardized across companies</t>
  </si>
  <si>
    <t>AI proxy identification (illustrative)</t>
  </si>
  <si>
    <t>Find disclosed AI run-rate, ARR, ACV, bookings, or other proxy signals where direct AI revenue is not separately reported</t>
  </si>
  <si>
    <t>Earnings calls / Web research</t>
  </si>
  <si>
    <t>Illustrative sample: AI traction proxies shortlisted for mix analysis</t>
  </si>
  <si>
    <t>Assumption calibration - low case (illustrative)</t>
  </si>
  <si>
    <t>Set conservative baseline growth, AI adoption, monetization yield, and cannibalization assumptions for each company</t>
  </si>
  <si>
    <t>Scenario design / Excel</t>
  </si>
  <si>
    <t>Illustrative sample: downside case inputs framed for sensitivity testing</t>
  </si>
  <si>
    <t>Assumption calibration - base case (illustrative)</t>
  </si>
  <si>
    <t>Set base case assumptions using current AI traction, enterprise rollout speed, and pricing logic</t>
  </si>
  <si>
    <t>Scenario design / Manual analysis</t>
  </si>
  <si>
    <t>Illustrative sample: base case aligned to realistic commercialization paths</t>
  </si>
  <si>
    <t>Assumption calibration - high case (illustrative)</t>
  </si>
  <si>
    <t>Build optimistic but plausible AI adoption and monetization assumptions for the upside case</t>
  </si>
  <si>
    <t>Scenario design / ChatGPT</t>
  </si>
  <si>
    <t>Illustrative sample: upside case prepared for scenario comparison</t>
  </si>
  <si>
    <t>Cannibalization review (illustrative)</t>
  </si>
  <si>
    <t>Estimate whether AI features may dilute existing subscriptions or replace legacy workflow spend</t>
  </si>
  <si>
    <t>Model review / Excel</t>
  </si>
  <si>
    <t>Illustrative sample: downside offsets considered alongside AI uplift</t>
  </si>
  <si>
    <t>Scenario model QA (illustrative)</t>
  </si>
  <si>
    <t>Check whether net revenue equals baseline revenue plus AI uplift minus cannibalization for all companies</t>
  </si>
  <si>
    <t>Excel formula check</t>
  </si>
  <si>
    <t>Illustrative sample: model logic validated at formula level</t>
  </si>
  <si>
    <t>Revenue mix derivation (illustrative)</t>
  </si>
  <si>
    <t>Translate AI uplift into AI revenue share and legacy share across 2025, 2026, and 2027</t>
  </si>
  <si>
    <t>Excel / Modeling</t>
  </si>
  <si>
    <t>Illustrative sample: AI mix transition computed for each company</t>
  </si>
  <si>
    <t>Chart helper preparation (illustrative)</t>
  </si>
  <si>
    <t>Prepare compact tables for revenue comparison, scenario comparison, AI uplift vs cannibalization, and mix shift visuals</t>
  </si>
  <si>
    <t>Excel chart staging</t>
  </si>
  <si>
    <t>Illustrative sample: chart-ready ranges organized in helper tab</t>
  </si>
  <si>
    <t>Dashboard narrative drafting (illustrative)</t>
  </si>
  <si>
    <t>Summarize what the portfolio overview, company deep dive, and mix shift charts are intended to show</t>
  </si>
  <si>
    <t>ChatGPT / Presentation drafting</t>
  </si>
  <si>
    <t>Illustrative sample: narrative hooks prepared for presentation use</t>
  </si>
  <si>
    <t>Source register completion (illustrative)</t>
  </si>
  <si>
    <t>Log URLs, filing references, and validation notes for each company input used in the workbook</t>
  </si>
  <si>
    <t>Source log / Manual review</t>
  </si>
  <si>
    <t>Illustrative sample: traceability entries prepared for auditability</t>
  </si>
  <si>
    <t>Dashboard — AI Revenue Impact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</si>
</sst>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;[Red]&quot;($&quot;#,##0.0\);\-"/>
    <numFmt numFmtId="165" formatCode="0.0%;[Red]\(0.0%\);\-"/>
    <numFmt numFmtId="166" formatCode="0.0%"/>
    <numFmt numFmtId="167" formatCode="\$0.0"/>
  </numFmts>
  <fonts count="19" x14ac:knownFonts="1">
    <font>
      <sz val="10"/>
      <name val="Arial"/>
      <family val="2"/>
    </font>
    <font>
      <sz val="12"/>
      <color theme="10"/>
      <name val="Calibri"/>
      <family val="2"/>
    </font>
    <font>
      <b/>
      <sz val="16"/>
      <color rgb="FF1F4E78"/>
      <name val="Cambria"/>
    </font>
    <font>
      <b/>
      <sz val="11"/>
      <color rgb="FFFFFFFF"/>
      <name val="Cambria"/>
    </font>
    <font>
      <sz val="11"/>
      <color theme="1"/>
      <name val="Calibri"/>
      <family val="2"/>
    </font>
    <font>
      <b/>
      <sz val="11"/>
      <color rgb="FF000000"/>
      <name val="Cambria"/>
    </font>
    <font>
      <sz val="10"/>
      <color rgb="FF0000FF"/>
      <name val="Cambria"/>
    </font>
    <font>
      <sz val="10"/>
      <color rgb="FF008000"/>
      <name val="Cambria"/>
    </font>
    <font>
      <sz val="9"/>
      <color rgb="FF000000"/>
      <name val="Cambria"/>
    </font>
    <font>
      <sz val="10"/>
      <color rgb="FF000000"/>
      <name val="Cambria"/>
    </font>
    <font>
      <b/>
      <sz val="13"/>
      <color rgb="FFFFFFFF"/>
      <name val="Cambria"/>
    </font>
    <font>
      <i/>
      <sz val="10"/>
      <color rgb="FF404040"/>
      <name val="Cambria"/>
    </font>
    <font>
      <b/>
      <sz val="12"/>
      <color rgb="FFFFFFFF"/>
      <name val="Cambria"/>
    </font>
    <font>
      <sz val="10"/>
      <name val="Cambria"/>
    </font>
    <font>
      <b/>
      <sz val="16"/>
      <color rgb="FFFFFFFF"/>
      <name val="Cambria"/>
    </font>
    <font>
      <i/>
      <sz val="10"/>
      <color rgb="FF666666"/>
      <name val="Cambria"/>
    </font>
    <font>
      <sz val="11"/>
      <color rgb="FFFFFFFF"/>
      <name val="Cambria"/>
    </font>
    <font>
      <b/>
      <sz val="11"/>
      <name val="Cambria"/>
    </font>
    <font>
      <i/>
      <sz val="9"/>
      <color rgb="FF666666"/>
      <name val="Cambria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E4DFEC"/>
      </patternFill>
    </fill>
    <fill>
      <patternFill patternType="solid">
        <fgColor rgb="FFE4DFEC"/>
        <bgColor rgb="FFE7E6E6"/>
      </patternFill>
    </fill>
    <fill>
      <patternFill patternType="solid">
        <fgColor rgb="FFFFF2CC"/>
        <bgColor rgb="FFFDE9E7"/>
      </patternFill>
    </fill>
    <fill>
      <patternFill patternType="solid">
        <fgColor rgb="FFDDEBF7"/>
        <bgColor rgb="FFD9EAF7"/>
      </patternFill>
    </fill>
    <fill>
      <patternFill patternType="solid">
        <fgColor rgb="FFFCE4D6"/>
        <bgColor rgb="FFFDE9E7"/>
      </patternFill>
    </fill>
    <fill>
      <patternFill patternType="solid">
        <fgColor rgb="FF4F81BD"/>
        <bgColor rgb="FF878787"/>
      </patternFill>
    </fill>
    <fill>
      <patternFill patternType="solid">
        <fgColor rgb="FFF7FBFF"/>
        <bgColor rgb="FFFFFFFF"/>
      </patternFill>
    </fill>
    <fill>
      <patternFill patternType="solid">
        <fgColor rgb="FFD9EAF7"/>
        <bgColor rgb="FFDDEBF7"/>
      </patternFill>
    </fill>
  </fills>
  <borders count="6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hair">
        <color rgb="FFDDDDDD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5" fillId="4" borderId="0" xfId="0" applyFont="1" applyFill="1"/>
    <xf numFmtId="0" fontId="6" fillId="5" borderId="0" xfId="0" applyFont="1" applyFill="1"/>
    <xf numFmtId="0" fontId="8" fillId="0" borderId="0" xfId="0" applyFont="1"/>
    <xf numFmtId="164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right" vertical="center"/>
    </xf>
    <xf numFmtId="0" fontId="5" fillId="7" borderId="0" xfId="0" applyFont="1" applyFill="1"/>
    <xf numFmtId="0" fontId="4" fillId="7" borderId="0" xfId="0" applyFont="1" applyFill="1" applyAlignment="1">
      <alignment vertical="top" wrapText="1"/>
    </xf>
    <xf numFmtId="0" fontId="8" fillId="3" borderId="0" xfId="0" applyFont="1" applyFill="1"/>
    <xf numFmtId="0" fontId="3" fillId="8" borderId="3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0" fillId="0" borderId="0" xfId="0" applyAlignment="1">
      <alignment vertical="top" wrapText="1"/>
    </xf>
    <xf numFmtId="166" fontId="0" fillId="0" borderId="0" xfId="0" applyNumberFormat="1" applyAlignment="1">
      <alignment vertical="top" wrapText="1"/>
    </xf>
    <xf numFmtId="0" fontId="7" fillId="9" borderId="3" xfId="0" applyFont="1" applyFill="1" applyBorder="1" applyAlignment="1">
      <alignment horizontal="center"/>
    </xf>
    <xf numFmtId="166" fontId="9" fillId="9" borderId="3" xfId="0" applyNumberFormat="1" applyFont="1" applyFill="1" applyBorder="1" applyAlignment="1">
      <alignment horizontal="center"/>
    </xf>
    <xf numFmtId="0" fontId="16" fillId="0" borderId="0" xfId="0" applyFont="1"/>
    <xf numFmtId="0" fontId="17" fillId="10" borderId="4" xfId="0" applyFont="1" applyFill="1" applyBorder="1" applyAlignment="1">
      <alignment horizontal="center"/>
    </xf>
    <xf numFmtId="0" fontId="4" fillId="0" borderId="5" xfId="0" applyFont="1" applyBorder="1"/>
    <xf numFmtId="167" fontId="4" fillId="0" borderId="5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0" fontId="18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0" fillId="0" borderId="0" xfId="0"/>
    <xf numFmtId="0" fontId="12" fillId="2" borderId="0" xfId="0" applyFont="1" applyFill="1" applyAlignment="1">
      <alignment horizontal="center"/>
    </xf>
    <xf numFmtId="0" fontId="11" fillId="0" borderId="0" xfId="0" applyFont="1" applyAlignment="1">
      <alignment wrapText="1"/>
    </xf>
    <xf numFmtId="0" fontId="10" fillId="2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14" fillId="2" borderId="0" xfId="0" applyFont="1" applyFill="1" applyAlignment="1">
      <alignment horizontal="left"/>
    </xf>
  </cellXfs>
  <cellStyles count="2">
    <cellStyle name="Hyperlink 1" xfId="1" xr:uid="{00000000-0005-0000-0000-000006000000}"/>
    <cellStyle name="Normal" xfId="0" builtinId="0"/>
  </cellStyles>
  <dxfs count="1">
    <dxf>
      <font>
        <name val="Arial"/>
        <family val="2"/>
      </font>
      <fill>
        <patternFill>
          <bgColor rgb="FFFDE9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FBF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7E6E6"/>
      <rgbColor rgb="FFFDE9E7"/>
      <rgbColor rgb="FFD9E2F3"/>
      <rgbColor rgb="FFE4DFEC"/>
      <rgbColor rgb="FFDDDDDD"/>
      <rgbColor rgb="FFFCE4D6"/>
      <rgbColor rgb="FF4F81BD"/>
      <rgbColor rgb="FF33CCCC"/>
      <rgbColor rgb="FF9BBB59"/>
      <rgbColor rgb="FFFFCC00"/>
      <rgbColor rgb="FFFF9900"/>
      <rgbColor rgb="FFFF6600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zoomScalePageLayoutView="60" workbookViewId="0"/>
  </sheetViews>
  <sheetFormatPr defaultColWidth="8.6328125" defaultRowHeight="15" customHeight="1" x14ac:dyDescent="0.25"/>
  <cols>
    <col min="1" max="1" width="18" customWidth="1"/>
    <col min="2" max="2" width="10" customWidth="1"/>
    <col min="3" max="3" width="22" customWidth="1"/>
    <col min="4" max="5" width="38" customWidth="1"/>
    <col min="6" max="6" width="12" customWidth="1"/>
    <col min="7" max="7" width="10" customWidth="1"/>
  </cols>
  <sheetData>
    <row r="1" spans="1:7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5" customHeigh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 t="s">
        <v>12</v>
      </c>
    </row>
    <row r="3" spans="1:7" ht="19.5" customHeight="1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2</v>
      </c>
      <c r="G3" s="3" t="s">
        <v>12</v>
      </c>
    </row>
    <row r="4" spans="1:7" ht="27.75" customHeigh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3</v>
      </c>
      <c r="G4" s="3" t="s">
        <v>12</v>
      </c>
    </row>
    <row r="5" spans="1:7" ht="19.5" customHeight="1" x14ac:dyDescent="0.2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4</v>
      </c>
      <c r="G5" s="3" t="s">
        <v>12</v>
      </c>
    </row>
    <row r="6" spans="1:7" ht="19.5" customHeigh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>
        <v>5</v>
      </c>
      <c r="G6" s="3" t="s">
        <v>12</v>
      </c>
    </row>
    <row r="7" spans="1:7" ht="19.5" customHeight="1" x14ac:dyDescent="0.25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>
        <v>6</v>
      </c>
      <c r="G7" s="3" t="s">
        <v>12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zoomScaleNormal="100" zoomScalePageLayoutView="60" workbookViewId="0"/>
  </sheetViews>
  <sheetFormatPr defaultColWidth="8.6328125" defaultRowHeight="15" customHeight="1" x14ac:dyDescent="0.25"/>
  <cols>
    <col min="1" max="1" width="16" customWidth="1"/>
    <col min="2" max="2" width="10" customWidth="1"/>
    <col min="3" max="3" width="12" customWidth="1"/>
    <col min="4" max="4" width="14" customWidth="1"/>
    <col min="5" max="5" width="16" customWidth="1"/>
    <col min="6" max="6" width="12" customWidth="1"/>
    <col min="7" max="7" width="28" customWidth="1"/>
    <col min="8" max="8" width="14" customWidth="1"/>
    <col min="9" max="9" width="24" customWidth="1"/>
    <col min="10" max="10" width="14" customWidth="1"/>
    <col min="11" max="11" width="24" customWidth="1"/>
    <col min="12" max="12" width="14" customWidth="1"/>
    <col min="13" max="13" width="32" customWidth="1"/>
    <col min="14" max="14" width="30" customWidth="1"/>
    <col min="15" max="15" width="34" customWidth="1"/>
    <col min="16" max="17" width="48" customWidth="1"/>
    <col min="18" max="18" width="60" customWidth="1"/>
  </cols>
  <sheetData>
    <row r="1" spans="1:18" ht="24" customHeight="1" x14ac:dyDescent="0.25">
      <c r="A1" s="4" t="s">
        <v>0</v>
      </c>
      <c r="B1" s="4" t="s">
        <v>1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</row>
    <row r="2" spans="1:18" ht="36" customHeight="1" x14ac:dyDescent="0.25">
      <c r="A2" s="5" t="s">
        <v>7</v>
      </c>
      <c r="B2" s="5" t="s">
        <v>8</v>
      </c>
      <c r="C2" s="5" t="s">
        <v>54</v>
      </c>
      <c r="D2" s="6">
        <v>281.72399999999999</v>
      </c>
      <c r="E2" s="6">
        <v>128.52799999999999</v>
      </c>
      <c r="F2" s="7">
        <v>4.6144453436696903E-2</v>
      </c>
      <c r="G2" s="3" t="s">
        <v>55</v>
      </c>
      <c r="H2" s="6">
        <v>120.81</v>
      </c>
      <c r="I2" s="3" t="s">
        <v>56</v>
      </c>
      <c r="J2" s="6">
        <v>106.265</v>
      </c>
      <c r="K2" s="3" t="s">
        <v>57</v>
      </c>
      <c r="L2" s="6">
        <v>54.649000000000001</v>
      </c>
      <c r="M2" s="3" t="s">
        <v>58</v>
      </c>
      <c r="N2" s="3" t="s">
        <v>59</v>
      </c>
      <c r="O2" s="3" t="s">
        <v>60</v>
      </c>
      <c r="P2" s="8" t="s">
        <v>61</v>
      </c>
      <c r="Q2" s="8" t="s">
        <v>62</v>
      </c>
      <c r="R2" s="3" t="s">
        <v>63</v>
      </c>
    </row>
    <row r="3" spans="1:18" ht="36" customHeight="1" x14ac:dyDescent="0.25">
      <c r="A3" s="5" t="s">
        <v>13</v>
      </c>
      <c r="B3" s="5" t="s">
        <v>14</v>
      </c>
      <c r="C3" s="5" t="s">
        <v>54</v>
      </c>
      <c r="D3" s="6">
        <v>37.895000000000003</v>
      </c>
      <c r="E3" s="6">
        <v>7.2</v>
      </c>
      <c r="F3" s="7">
        <v>2.3749835070589798E-2</v>
      </c>
      <c r="G3" s="3" t="s">
        <v>64</v>
      </c>
      <c r="H3" s="6">
        <v>9.0540000000000003</v>
      </c>
      <c r="I3" s="3" t="s">
        <v>65</v>
      </c>
      <c r="J3" s="6">
        <v>8.3219999999999992</v>
      </c>
      <c r="K3" s="3" t="s">
        <v>66</v>
      </c>
      <c r="L3" s="6">
        <v>7.2469999999999999</v>
      </c>
      <c r="M3" s="3" t="s">
        <v>67</v>
      </c>
      <c r="N3" s="3" t="s">
        <v>68</v>
      </c>
      <c r="O3" s="3" t="s">
        <v>69</v>
      </c>
      <c r="P3" s="8" t="s">
        <v>70</v>
      </c>
      <c r="Q3" s="8" t="s">
        <v>71</v>
      </c>
      <c r="R3" s="3" t="s">
        <v>72</v>
      </c>
    </row>
    <row r="4" spans="1:18" ht="36" customHeight="1" x14ac:dyDescent="0.25">
      <c r="A4" s="5" t="s">
        <v>18</v>
      </c>
      <c r="B4" s="5" t="s">
        <v>19</v>
      </c>
      <c r="C4" s="5" t="s">
        <v>54</v>
      </c>
      <c r="D4" s="6">
        <v>23.768999999999998</v>
      </c>
      <c r="E4" s="6">
        <v>8.7100000000000009</v>
      </c>
      <c r="F4" s="7"/>
      <c r="G4" s="3" t="s">
        <v>73</v>
      </c>
      <c r="H4" s="6">
        <v>17.649000000000001</v>
      </c>
      <c r="I4" s="3" t="s">
        <v>74</v>
      </c>
      <c r="J4" s="6">
        <v>5.8639999999999999</v>
      </c>
      <c r="K4" s="3" t="s">
        <v>75</v>
      </c>
      <c r="L4" s="6">
        <v>0.25600000000000001</v>
      </c>
      <c r="M4" s="3" t="s">
        <v>76</v>
      </c>
      <c r="N4" s="3" t="s">
        <v>77</v>
      </c>
      <c r="O4" s="3" t="s">
        <v>78</v>
      </c>
      <c r="P4" s="8" t="s">
        <v>79</v>
      </c>
      <c r="Q4" s="8" t="s">
        <v>80</v>
      </c>
      <c r="R4" s="3" t="s">
        <v>81</v>
      </c>
    </row>
    <row r="5" spans="1:18" ht="36" customHeight="1" x14ac:dyDescent="0.25">
      <c r="A5" s="5" t="s">
        <v>23</v>
      </c>
      <c r="B5" s="5" t="s">
        <v>24</v>
      </c>
      <c r="C5" s="5" t="s">
        <v>82</v>
      </c>
      <c r="D5" s="6">
        <v>10.984</v>
      </c>
      <c r="E5" s="6">
        <v>1.3640000000000001</v>
      </c>
      <c r="F5" s="7">
        <v>1.82083029861617E-2</v>
      </c>
      <c r="G5" s="3" t="s">
        <v>83</v>
      </c>
      <c r="H5" s="6">
        <v>10.646000000000001</v>
      </c>
      <c r="I5" s="3" t="s">
        <v>84</v>
      </c>
      <c r="J5" s="6">
        <v>0.33800000000000002</v>
      </c>
      <c r="K5" s="3"/>
      <c r="L5" s="6"/>
      <c r="M5" s="3" t="s">
        <v>85</v>
      </c>
      <c r="N5" s="3" t="s">
        <v>86</v>
      </c>
      <c r="O5" s="3" t="s">
        <v>87</v>
      </c>
      <c r="P5" s="8" t="s">
        <v>88</v>
      </c>
      <c r="Q5" s="8" t="s">
        <v>89</v>
      </c>
      <c r="R5" s="3" t="s">
        <v>90</v>
      </c>
    </row>
    <row r="6" spans="1:18" ht="36" customHeight="1" x14ac:dyDescent="0.25">
      <c r="A6" s="5" t="s">
        <v>28</v>
      </c>
      <c r="B6" s="5" t="s">
        <v>29</v>
      </c>
      <c r="C6" s="5" t="s">
        <v>54</v>
      </c>
      <c r="D6" s="6">
        <v>18.831</v>
      </c>
      <c r="E6" s="6">
        <v>4.923</v>
      </c>
      <c r="F6" s="7"/>
      <c r="G6" s="3" t="s">
        <v>91</v>
      </c>
      <c r="H6" s="6">
        <v>11.077</v>
      </c>
      <c r="I6" s="3" t="s">
        <v>92</v>
      </c>
      <c r="J6" s="6">
        <v>4.87</v>
      </c>
      <c r="K6" s="3" t="s">
        <v>93</v>
      </c>
      <c r="L6" s="6">
        <v>2.2629999999999999</v>
      </c>
      <c r="M6" s="3" t="s">
        <v>94</v>
      </c>
      <c r="N6" s="3" t="s">
        <v>95</v>
      </c>
      <c r="O6" s="3" t="s">
        <v>96</v>
      </c>
      <c r="P6" s="8" t="s">
        <v>97</v>
      </c>
      <c r="Q6" s="8" t="s">
        <v>98</v>
      </c>
      <c r="R6" s="3" t="s">
        <v>99</v>
      </c>
    </row>
    <row r="7" spans="1:18" ht="36" customHeight="1" x14ac:dyDescent="0.25">
      <c r="A7" s="5" t="s">
        <v>33</v>
      </c>
      <c r="B7" s="5" t="s">
        <v>34</v>
      </c>
      <c r="C7" s="5" t="s">
        <v>54</v>
      </c>
      <c r="D7" s="6">
        <v>4.4754459999999998</v>
      </c>
      <c r="E7" s="6">
        <v>1.414015</v>
      </c>
      <c r="F7" s="7"/>
      <c r="G7" s="3" t="s">
        <v>100</v>
      </c>
      <c r="H7" s="6">
        <v>2.4022869999999998</v>
      </c>
      <c r="I7" s="3" t="s">
        <v>101</v>
      </c>
      <c r="J7" s="6">
        <v>2.073159</v>
      </c>
      <c r="K7" s="3"/>
      <c r="L7" s="6"/>
      <c r="M7" s="3" t="s">
        <v>102</v>
      </c>
      <c r="N7" s="3" t="s">
        <v>103</v>
      </c>
      <c r="O7" s="3" t="s">
        <v>104</v>
      </c>
      <c r="P7" s="8" t="s">
        <v>105</v>
      </c>
      <c r="Q7" s="8" t="s">
        <v>106</v>
      </c>
      <c r="R7" s="3" t="s">
        <v>107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zoomScaleNormal="100" zoomScalePageLayoutView="60" workbookViewId="0"/>
  </sheetViews>
  <sheetFormatPr defaultColWidth="8.6328125" defaultRowHeight="15" customHeight="1" x14ac:dyDescent="0.25"/>
  <cols>
    <col min="1" max="1" width="16" customWidth="1"/>
    <col min="2" max="2" width="12" customWidth="1"/>
    <col min="3" max="5" width="18" customWidth="1"/>
    <col min="6" max="7" width="16" customWidth="1"/>
    <col min="8" max="9" width="19" customWidth="1"/>
    <col min="10" max="11" width="18" customWidth="1"/>
    <col min="12" max="12" width="42" customWidth="1"/>
  </cols>
  <sheetData>
    <row r="1" spans="1:12" ht="24" customHeight="1" x14ac:dyDescent="0.25">
      <c r="A1" s="2" t="s">
        <v>0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</row>
    <row r="2" spans="1:12" ht="19.5" customHeight="1" x14ac:dyDescent="0.25">
      <c r="A2" s="5" t="s">
        <v>7</v>
      </c>
      <c r="B2" s="5" t="s">
        <v>119</v>
      </c>
      <c r="C2" s="7">
        <v>0.09</v>
      </c>
      <c r="D2" s="7">
        <v>0.08</v>
      </c>
      <c r="E2" s="7">
        <v>0.35</v>
      </c>
      <c r="F2" s="7">
        <v>7.0000000000000007E-2</v>
      </c>
      <c r="G2" s="7">
        <v>0.12</v>
      </c>
      <c r="H2" s="7">
        <v>0.04</v>
      </c>
      <c r="I2" s="7">
        <v>0.05</v>
      </c>
      <c r="J2" s="7">
        <v>2E-3</v>
      </c>
      <c r="K2" s="7">
        <v>3.0000000000000001E-3</v>
      </c>
      <c r="L2" s="3" t="s">
        <v>120</v>
      </c>
    </row>
    <row r="3" spans="1:12" ht="19.5" customHeight="1" x14ac:dyDescent="0.25">
      <c r="A3" s="5" t="s">
        <v>7</v>
      </c>
      <c r="B3" s="5" t="s">
        <v>121</v>
      </c>
      <c r="C3" s="7">
        <v>0.11</v>
      </c>
      <c r="D3" s="7">
        <v>0.1</v>
      </c>
      <c r="E3" s="7">
        <v>0.45</v>
      </c>
      <c r="F3" s="7">
        <v>0.12</v>
      </c>
      <c r="G3" s="7">
        <v>0.18</v>
      </c>
      <c r="H3" s="7">
        <v>0.06</v>
      </c>
      <c r="I3" s="7">
        <v>7.0000000000000007E-2</v>
      </c>
      <c r="J3" s="7">
        <v>4.0000000000000001E-3</v>
      </c>
      <c r="K3" s="7">
        <v>5.0000000000000001E-3</v>
      </c>
      <c r="L3" s="3" t="s">
        <v>122</v>
      </c>
    </row>
    <row r="4" spans="1:12" ht="27.75" customHeight="1" x14ac:dyDescent="0.25">
      <c r="A4" s="5" t="s">
        <v>7</v>
      </c>
      <c r="B4" s="5" t="s">
        <v>123</v>
      </c>
      <c r="C4" s="7">
        <v>0.13</v>
      </c>
      <c r="D4" s="7">
        <v>0.12</v>
      </c>
      <c r="E4" s="7">
        <v>0.55000000000000004</v>
      </c>
      <c r="F4" s="7">
        <v>0.18</v>
      </c>
      <c r="G4" s="7">
        <v>0.26</v>
      </c>
      <c r="H4" s="7">
        <v>0.08</v>
      </c>
      <c r="I4" s="7">
        <v>0.1</v>
      </c>
      <c r="J4" s="7">
        <v>6.0000000000000001E-3</v>
      </c>
      <c r="K4" s="7">
        <v>8.0000000000000002E-3</v>
      </c>
      <c r="L4" s="3" t="s">
        <v>124</v>
      </c>
    </row>
    <row r="5" spans="1:12" ht="19.5" customHeight="1" x14ac:dyDescent="0.25">
      <c r="A5" s="5" t="s">
        <v>13</v>
      </c>
      <c r="B5" s="5" t="s">
        <v>119</v>
      </c>
      <c r="C5" s="7">
        <v>7.0000000000000007E-2</v>
      </c>
      <c r="D5" s="7">
        <v>0.06</v>
      </c>
      <c r="E5" s="7">
        <v>0.45</v>
      </c>
      <c r="F5" s="7">
        <v>0.1</v>
      </c>
      <c r="G5" s="7">
        <v>0.15</v>
      </c>
      <c r="H5" s="7">
        <v>0.05</v>
      </c>
      <c r="I5" s="7">
        <v>0.06</v>
      </c>
      <c r="J5" s="7">
        <v>3.0000000000000001E-3</v>
      </c>
      <c r="K5" s="7">
        <v>4.0000000000000001E-3</v>
      </c>
      <c r="L5" s="3" t="s">
        <v>125</v>
      </c>
    </row>
    <row r="6" spans="1:12" ht="19.5" customHeight="1" x14ac:dyDescent="0.25">
      <c r="A6" s="5" t="s">
        <v>13</v>
      </c>
      <c r="B6" s="5" t="s">
        <v>121</v>
      </c>
      <c r="C6" s="7">
        <v>0.09</v>
      </c>
      <c r="D6" s="7">
        <v>0.08</v>
      </c>
      <c r="E6" s="7">
        <v>0.6</v>
      </c>
      <c r="F6" s="7">
        <v>0.18</v>
      </c>
      <c r="G6" s="7">
        <v>0.26</v>
      </c>
      <c r="H6" s="7">
        <v>7.0000000000000007E-2</v>
      </c>
      <c r="I6" s="7">
        <v>8.5000000000000006E-2</v>
      </c>
      <c r="J6" s="7">
        <v>5.0000000000000001E-3</v>
      </c>
      <c r="K6" s="7">
        <v>6.0000000000000001E-3</v>
      </c>
      <c r="L6" s="3" t="s">
        <v>126</v>
      </c>
    </row>
    <row r="7" spans="1:12" ht="19.5" customHeight="1" x14ac:dyDescent="0.25">
      <c r="A7" s="5" t="s">
        <v>13</v>
      </c>
      <c r="B7" s="5" t="s">
        <v>123</v>
      </c>
      <c r="C7" s="7">
        <v>0.11</v>
      </c>
      <c r="D7" s="7">
        <v>0.1</v>
      </c>
      <c r="E7" s="7">
        <v>0.7</v>
      </c>
      <c r="F7" s="7">
        <v>0.28000000000000003</v>
      </c>
      <c r="G7" s="7">
        <v>0.36</v>
      </c>
      <c r="H7" s="7">
        <v>0.09</v>
      </c>
      <c r="I7" s="7">
        <v>0.11</v>
      </c>
      <c r="J7" s="7">
        <v>7.0000000000000001E-3</v>
      </c>
      <c r="K7" s="7">
        <v>8.9999999999999993E-3</v>
      </c>
      <c r="L7" s="3" t="s">
        <v>127</v>
      </c>
    </row>
    <row r="8" spans="1:12" ht="19.5" customHeight="1" x14ac:dyDescent="0.25">
      <c r="A8" s="5" t="s">
        <v>18</v>
      </c>
      <c r="B8" s="5" t="s">
        <v>119</v>
      </c>
      <c r="C8" s="7">
        <v>0.08</v>
      </c>
      <c r="D8" s="7">
        <v>7.0000000000000007E-2</v>
      </c>
      <c r="E8" s="7">
        <v>0.4</v>
      </c>
      <c r="F8" s="7">
        <v>0.09</v>
      </c>
      <c r="G8" s="7">
        <v>0.14000000000000001</v>
      </c>
      <c r="H8" s="7">
        <v>4.4999999999999998E-2</v>
      </c>
      <c r="I8" s="7">
        <v>5.5E-2</v>
      </c>
      <c r="J8" s="7">
        <v>4.0000000000000001E-3</v>
      </c>
      <c r="K8" s="7">
        <v>5.0000000000000001E-3</v>
      </c>
      <c r="L8" s="3" t="s">
        <v>128</v>
      </c>
    </row>
    <row r="9" spans="1:12" ht="19.5" customHeight="1" x14ac:dyDescent="0.25">
      <c r="A9" s="5" t="s">
        <v>18</v>
      </c>
      <c r="B9" s="5" t="s">
        <v>121</v>
      </c>
      <c r="C9" s="7">
        <v>0.1</v>
      </c>
      <c r="D9" s="7">
        <v>0.09</v>
      </c>
      <c r="E9" s="7">
        <v>0.55000000000000004</v>
      </c>
      <c r="F9" s="7">
        <v>0.16</v>
      </c>
      <c r="G9" s="7">
        <v>0.24</v>
      </c>
      <c r="H9" s="7">
        <v>6.5000000000000002E-2</v>
      </c>
      <c r="I9" s="7">
        <v>7.4999999999999997E-2</v>
      </c>
      <c r="J9" s="7">
        <v>6.0000000000000001E-3</v>
      </c>
      <c r="K9" s="7">
        <v>7.0000000000000001E-3</v>
      </c>
      <c r="L9" s="3" t="s">
        <v>129</v>
      </c>
    </row>
    <row r="10" spans="1:12" ht="19.5" customHeight="1" x14ac:dyDescent="0.25">
      <c r="A10" s="5" t="s">
        <v>18</v>
      </c>
      <c r="B10" s="5" t="s">
        <v>123</v>
      </c>
      <c r="C10" s="7">
        <v>0.12</v>
      </c>
      <c r="D10" s="7">
        <v>0.11</v>
      </c>
      <c r="E10" s="7">
        <v>0.65</v>
      </c>
      <c r="F10" s="7">
        <v>0.24</v>
      </c>
      <c r="G10" s="7">
        <v>0.34</v>
      </c>
      <c r="H10" s="7">
        <v>8.5000000000000006E-2</v>
      </c>
      <c r="I10" s="7">
        <v>9.5000000000000001E-2</v>
      </c>
      <c r="J10" s="7">
        <v>8.0000000000000002E-3</v>
      </c>
      <c r="K10" s="7">
        <v>0.01</v>
      </c>
      <c r="L10" s="3" t="s">
        <v>130</v>
      </c>
    </row>
    <row r="11" spans="1:12" ht="19.5" customHeight="1" x14ac:dyDescent="0.25">
      <c r="A11" s="5" t="s">
        <v>23</v>
      </c>
      <c r="B11" s="5" t="s">
        <v>119</v>
      </c>
      <c r="C11" s="7">
        <v>0.18</v>
      </c>
      <c r="D11" s="7">
        <v>0.16</v>
      </c>
      <c r="E11" s="7">
        <v>0.45</v>
      </c>
      <c r="F11" s="7">
        <v>0.1</v>
      </c>
      <c r="G11" s="7">
        <v>0.15</v>
      </c>
      <c r="H11" s="7">
        <v>0.05</v>
      </c>
      <c r="I11" s="7">
        <v>0.06</v>
      </c>
      <c r="J11" s="7">
        <v>2E-3</v>
      </c>
      <c r="K11" s="7">
        <v>3.0000000000000001E-3</v>
      </c>
      <c r="L11" s="3" t="s">
        <v>131</v>
      </c>
    </row>
    <row r="12" spans="1:12" ht="19.5" customHeight="1" x14ac:dyDescent="0.25">
      <c r="A12" s="5" t="s">
        <v>23</v>
      </c>
      <c r="B12" s="5" t="s">
        <v>121</v>
      </c>
      <c r="C12" s="7">
        <v>0.21</v>
      </c>
      <c r="D12" s="7">
        <v>0.19</v>
      </c>
      <c r="E12" s="7">
        <v>0.6</v>
      </c>
      <c r="F12" s="7">
        <v>0.18</v>
      </c>
      <c r="G12" s="7">
        <v>0.26</v>
      </c>
      <c r="H12" s="7">
        <v>7.4999999999999997E-2</v>
      </c>
      <c r="I12" s="7">
        <v>8.5000000000000006E-2</v>
      </c>
      <c r="J12" s="7">
        <v>3.0000000000000001E-3</v>
      </c>
      <c r="K12" s="7">
        <v>4.0000000000000001E-3</v>
      </c>
      <c r="L12" s="3" t="s">
        <v>132</v>
      </c>
    </row>
    <row r="13" spans="1:12" ht="19.5" customHeight="1" x14ac:dyDescent="0.25">
      <c r="A13" s="5" t="s">
        <v>23</v>
      </c>
      <c r="B13" s="5" t="s">
        <v>123</v>
      </c>
      <c r="C13" s="7">
        <v>0.24</v>
      </c>
      <c r="D13" s="7">
        <v>0.22</v>
      </c>
      <c r="E13" s="7">
        <v>0.7</v>
      </c>
      <c r="F13" s="7">
        <v>0.28000000000000003</v>
      </c>
      <c r="G13" s="7">
        <v>0.36</v>
      </c>
      <c r="H13" s="7">
        <v>9.5000000000000001E-2</v>
      </c>
      <c r="I13" s="7">
        <v>0.11</v>
      </c>
      <c r="J13" s="7">
        <v>5.0000000000000001E-3</v>
      </c>
      <c r="K13" s="7">
        <v>6.0000000000000001E-3</v>
      </c>
      <c r="L13" s="3" t="s">
        <v>133</v>
      </c>
    </row>
    <row r="14" spans="1:12" ht="19.5" customHeight="1" x14ac:dyDescent="0.25">
      <c r="A14" s="5" t="s">
        <v>28</v>
      </c>
      <c r="B14" s="5" t="s">
        <v>119</v>
      </c>
      <c r="C14" s="7">
        <v>0.1</v>
      </c>
      <c r="D14" s="7">
        <v>0.09</v>
      </c>
      <c r="E14" s="7">
        <v>0.35</v>
      </c>
      <c r="F14" s="7">
        <v>0.08</v>
      </c>
      <c r="G14" s="7">
        <v>0.12</v>
      </c>
      <c r="H14" s="7">
        <v>0.04</v>
      </c>
      <c r="I14" s="7">
        <v>4.4999999999999998E-2</v>
      </c>
      <c r="J14" s="7">
        <v>2E-3</v>
      </c>
      <c r="K14" s="7">
        <v>3.0000000000000001E-3</v>
      </c>
      <c r="L14" s="3" t="s">
        <v>134</v>
      </c>
    </row>
    <row r="15" spans="1:12" ht="19.5" customHeight="1" x14ac:dyDescent="0.25">
      <c r="A15" s="5" t="s">
        <v>28</v>
      </c>
      <c r="B15" s="5" t="s">
        <v>121</v>
      </c>
      <c r="C15" s="7">
        <v>0.12</v>
      </c>
      <c r="D15" s="7">
        <v>0.11</v>
      </c>
      <c r="E15" s="7">
        <v>0.5</v>
      </c>
      <c r="F15" s="7">
        <v>0.14000000000000001</v>
      </c>
      <c r="G15" s="7">
        <v>0.22</v>
      </c>
      <c r="H15" s="7">
        <v>5.5E-2</v>
      </c>
      <c r="I15" s="7">
        <v>6.5000000000000002E-2</v>
      </c>
      <c r="J15" s="7">
        <v>3.0000000000000001E-3</v>
      </c>
      <c r="K15" s="7">
        <v>4.0000000000000001E-3</v>
      </c>
      <c r="L15" s="3" t="s">
        <v>135</v>
      </c>
    </row>
    <row r="16" spans="1:12" ht="19.5" customHeight="1" x14ac:dyDescent="0.25">
      <c r="A16" s="5" t="s">
        <v>28</v>
      </c>
      <c r="B16" s="5" t="s">
        <v>123</v>
      </c>
      <c r="C16" s="7">
        <v>0.14000000000000001</v>
      </c>
      <c r="D16" s="7">
        <v>0.13</v>
      </c>
      <c r="E16" s="7">
        <v>0.6</v>
      </c>
      <c r="F16" s="7">
        <v>0.22</v>
      </c>
      <c r="G16" s="7">
        <v>0.32</v>
      </c>
      <c r="H16" s="7">
        <v>7.0000000000000007E-2</v>
      </c>
      <c r="I16" s="7">
        <v>8.5000000000000006E-2</v>
      </c>
      <c r="J16" s="7">
        <v>5.0000000000000001E-3</v>
      </c>
      <c r="K16" s="7">
        <v>6.0000000000000001E-3</v>
      </c>
      <c r="L16" s="3" t="s">
        <v>136</v>
      </c>
    </row>
    <row r="17" spans="1:12" ht="19.5" customHeight="1" x14ac:dyDescent="0.25">
      <c r="A17" s="5" t="s">
        <v>33</v>
      </c>
      <c r="B17" s="5" t="s">
        <v>119</v>
      </c>
      <c r="C17" s="7">
        <v>0.25</v>
      </c>
      <c r="D17" s="7">
        <v>0.2</v>
      </c>
      <c r="E17" s="7">
        <v>0.6</v>
      </c>
      <c r="F17" s="7">
        <v>0.12</v>
      </c>
      <c r="G17" s="7">
        <v>0.18</v>
      </c>
      <c r="H17" s="7">
        <v>7.0000000000000007E-2</v>
      </c>
      <c r="I17" s="7">
        <v>0.08</v>
      </c>
      <c r="J17" s="7">
        <v>1E-3</v>
      </c>
      <c r="K17" s="7">
        <v>1.5E-3</v>
      </c>
      <c r="L17" s="3" t="s">
        <v>137</v>
      </c>
    </row>
    <row r="18" spans="1:12" ht="19.5" customHeight="1" x14ac:dyDescent="0.25">
      <c r="A18" s="5" t="s">
        <v>33</v>
      </c>
      <c r="B18" s="5" t="s">
        <v>121</v>
      </c>
      <c r="C18" s="7">
        <v>0.35</v>
      </c>
      <c r="D18" s="7">
        <v>0.28000000000000003</v>
      </c>
      <c r="E18" s="7">
        <v>0.75</v>
      </c>
      <c r="F18" s="7">
        <v>0.2</v>
      </c>
      <c r="G18" s="7">
        <v>0.3</v>
      </c>
      <c r="H18" s="7">
        <v>0.09</v>
      </c>
      <c r="I18" s="7">
        <v>0.1</v>
      </c>
      <c r="J18" s="7">
        <v>2E-3</v>
      </c>
      <c r="K18" s="7">
        <v>2.5000000000000001E-3</v>
      </c>
      <c r="L18" s="3" t="s">
        <v>138</v>
      </c>
    </row>
    <row r="19" spans="1:12" ht="19.5" customHeight="1" x14ac:dyDescent="0.25">
      <c r="A19" s="5" t="s">
        <v>33</v>
      </c>
      <c r="B19" s="5" t="s">
        <v>123</v>
      </c>
      <c r="C19" s="7">
        <v>0.45</v>
      </c>
      <c r="D19" s="7">
        <v>0.35</v>
      </c>
      <c r="E19" s="7">
        <v>0.85</v>
      </c>
      <c r="F19" s="7">
        <v>0.3</v>
      </c>
      <c r="G19" s="7">
        <v>0.4</v>
      </c>
      <c r="H19" s="7">
        <v>0.11</v>
      </c>
      <c r="I19" s="7">
        <v>0.12</v>
      </c>
      <c r="J19" s="7">
        <v>3.0000000000000001E-3</v>
      </c>
      <c r="K19" s="7">
        <v>4.0000000000000001E-3</v>
      </c>
      <c r="L19" s="3" t="s">
        <v>139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"/>
  <sheetViews>
    <sheetView zoomScaleNormal="100" zoomScalePageLayoutView="60" workbookViewId="0"/>
  </sheetViews>
  <sheetFormatPr defaultColWidth="8.6328125" defaultRowHeight="15" customHeight="1" x14ac:dyDescent="0.25"/>
  <cols>
    <col min="1" max="1" width="16" customWidth="1"/>
    <col min="2" max="2" width="14" customWidth="1"/>
    <col min="3" max="3" width="16" customWidth="1"/>
    <col min="4" max="4" width="14" customWidth="1"/>
    <col min="5" max="5" width="18" customWidth="1"/>
    <col min="6" max="7" width="14" customWidth="1"/>
    <col min="8" max="8" width="17" customWidth="1"/>
    <col min="9" max="9" width="14" customWidth="1"/>
    <col min="10" max="10" width="18" customWidth="1"/>
    <col min="11" max="11" width="15" customWidth="1"/>
    <col min="12" max="13" width="16" customWidth="1"/>
    <col min="14" max="14" width="18" customWidth="1"/>
    <col min="15" max="16" width="14" customWidth="1"/>
    <col min="17" max="17" width="17" customWidth="1"/>
    <col min="18" max="18" width="14" customWidth="1"/>
    <col min="19" max="19" width="18" customWidth="1"/>
    <col min="20" max="20" width="15" customWidth="1"/>
    <col min="21" max="21" width="16" customWidth="1"/>
  </cols>
  <sheetData>
    <row r="1" spans="1:21" ht="24" customHeight="1" x14ac:dyDescent="0.3">
      <c r="A1" s="9" t="s">
        <v>140</v>
      </c>
      <c r="B1" s="10" t="s">
        <v>121</v>
      </c>
      <c r="D1" s="11" t="s">
        <v>141</v>
      </c>
    </row>
    <row r="2" spans="1:21" ht="19.5" customHeight="1" x14ac:dyDescent="0.25"/>
    <row r="3" spans="1:21" ht="19.5" customHeight="1" x14ac:dyDescent="0.25"/>
    <row r="4" spans="1:21" ht="27.75" customHeight="1" x14ac:dyDescent="0.25">
      <c r="A4" s="2" t="s">
        <v>0</v>
      </c>
      <c r="B4" s="2" t="s">
        <v>142</v>
      </c>
      <c r="C4" s="2" t="s">
        <v>143</v>
      </c>
      <c r="D4" s="2" t="s">
        <v>144</v>
      </c>
      <c r="E4" s="2" t="s">
        <v>145</v>
      </c>
      <c r="F4" s="2" t="s">
        <v>146</v>
      </c>
      <c r="G4" s="2" t="s">
        <v>147</v>
      </c>
      <c r="H4" s="2" t="s">
        <v>148</v>
      </c>
      <c r="I4" s="2" t="s">
        <v>149</v>
      </c>
      <c r="J4" s="2" t="s">
        <v>116</v>
      </c>
      <c r="K4" s="2" t="s">
        <v>150</v>
      </c>
      <c r="L4" s="2" t="s">
        <v>151</v>
      </c>
      <c r="M4" s="2" t="s">
        <v>152</v>
      </c>
      <c r="N4" s="2" t="s">
        <v>153</v>
      </c>
      <c r="O4" s="2" t="s">
        <v>154</v>
      </c>
      <c r="P4" s="2" t="s">
        <v>155</v>
      </c>
      <c r="Q4" s="2" t="s">
        <v>156</v>
      </c>
      <c r="R4" s="2" t="s">
        <v>157</v>
      </c>
      <c r="S4" s="2" t="s">
        <v>117</v>
      </c>
      <c r="T4" s="2" t="s">
        <v>158</v>
      </c>
      <c r="U4" s="2" t="s">
        <v>159</v>
      </c>
    </row>
    <row r="5" spans="1:21" ht="19.5" customHeight="1" x14ac:dyDescent="0.25">
      <c r="A5" s="5" t="s">
        <v>7</v>
      </c>
      <c r="B5" s="12">
        <f>SUMIFS(Raw_Data!$D:$D,Raw_Data!$A:$A,$A5)</f>
        <v>281.72399999999999</v>
      </c>
      <c r="C5" s="13">
        <f>SUMIFS(Assumptions!$C:$C,Assumptions!$A:$A,$A5,Assumptions!$B:$B,$B$1)</f>
        <v>0.11</v>
      </c>
      <c r="D5" s="13">
        <f>SUMIFS(Assumptions!$E:$E,Assumptions!$A:$A,$A5,Assumptions!$B:$B,$B$1)</f>
        <v>0.45</v>
      </c>
      <c r="E5" s="14">
        <f t="shared" ref="E5:E10" si="0">B5*(1+C5)</f>
        <v>312.71364</v>
      </c>
      <c r="F5" s="14">
        <f t="shared" ref="F5:F10" si="1">E5*D5</f>
        <v>140.721138</v>
      </c>
      <c r="G5" s="13">
        <f>SUMIFS(Assumptions!$F:$F,Assumptions!$A:$A,$A5,Assumptions!$B:$B,$B$1)</f>
        <v>0.12</v>
      </c>
      <c r="H5" s="13">
        <f>SUMIFS(Assumptions!$H:$H,Assumptions!$A:$A,$A5,Assumptions!$B:$B,$B$1)</f>
        <v>0.06</v>
      </c>
      <c r="I5" s="14">
        <f t="shared" ref="I5:I10" si="2">F5*G5*H5</f>
        <v>1.0131921935999999</v>
      </c>
      <c r="J5" s="13">
        <f>SUMIFS(Assumptions!$J:$J,Assumptions!$A:$A,$A5,Assumptions!$B:$B,$B$1)</f>
        <v>4.0000000000000001E-3</v>
      </c>
      <c r="K5" s="14">
        <f t="shared" ref="K5:K10" si="3">F5*J5</f>
        <v>0.56288455199999998</v>
      </c>
      <c r="L5" s="14">
        <f t="shared" ref="L5:L10" si="4">E5+I5-K5</f>
        <v>313.16394764159998</v>
      </c>
      <c r="M5" s="13">
        <f>SUMIFS(Assumptions!$D:$D,Assumptions!$A:$A,$A5,Assumptions!$B:$B,$B$1)</f>
        <v>0.1</v>
      </c>
      <c r="N5" s="14">
        <f t="shared" ref="N5:N10" si="5">L5*(1+M5)</f>
        <v>344.48034240575998</v>
      </c>
      <c r="O5" s="14">
        <f t="shared" ref="O5:O10" si="6">N5*D5</f>
        <v>155.01615408259201</v>
      </c>
      <c r="P5" s="13">
        <f>SUMIFS(Assumptions!$G:$G,Assumptions!$A:$A,$A5,Assumptions!$B:$B,$B$1)</f>
        <v>0.18</v>
      </c>
      <c r="Q5" s="13">
        <f>SUMIFS(Assumptions!$I:$I,Assumptions!$A:$A,$A5,Assumptions!$B:$B,$B$1)</f>
        <v>7.0000000000000007E-2</v>
      </c>
      <c r="R5" s="14">
        <f t="shared" ref="R5:R10" si="7">O5*P5*Q5</f>
        <v>1.9532035414406594</v>
      </c>
      <c r="S5" s="13">
        <f>SUMIFS(Assumptions!$K:$K,Assumptions!$A:$A,$A5,Assumptions!$B:$B,$B$1)</f>
        <v>5.0000000000000001E-3</v>
      </c>
      <c r="T5" s="14">
        <f t="shared" ref="T5:T10" si="8">O5*S5</f>
        <v>0.77508077041296009</v>
      </c>
      <c r="U5" s="14">
        <f t="shared" ref="U5:U10" si="9">N5+R5-T5</f>
        <v>345.65846517678767</v>
      </c>
    </row>
    <row r="6" spans="1:21" ht="19.5" customHeight="1" x14ac:dyDescent="0.25">
      <c r="A6" s="5" t="s">
        <v>13</v>
      </c>
      <c r="B6" s="12">
        <f>SUMIFS(Raw_Data!$D:$D,Raw_Data!$A:$A,$A6)</f>
        <v>37.895000000000003</v>
      </c>
      <c r="C6" s="13">
        <f>SUMIFS(Assumptions!$C:$C,Assumptions!$A:$A,$A6,Assumptions!$B:$B,$B$1)</f>
        <v>0.09</v>
      </c>
      <c r="D6" s="13">
        <f>SUMIFS(Assumptions!$E:$E,Assumptions!$A:$A,$A6,Assumptions!$B:$B,$B$1)</f>
        <v>0.6</v>
      </c>
      <c r="E6" s="14">
        <f t="shared" si="0"/>
        <v>41.305550000000004</v>
      </c>
      <c r="F6" s="14">
        <f t="shared" si="1"/>
        <v>24.783330000000003</v>
      </c>
      <c r="G6" s="13">
        <f>SUMIFS(Assumptions!$F:$F,Assumptions!$A:$A,$A6,Assumptions!$B:$B,$B$1)</f>
        <v>0.18</v>
      </c>
      <c r="H6" s="13">
        <f>SUMIFS(Assumptions!$H:$H,Assumptions!$A:$A,$A6,Assumptions!$B:$B,$B$1)</f>
        <v>7.0000000000000007E-2</v>
      </c>
      <c r="I6" s="14">
        <f t="shared" si="2"/>
        <v>0.31226995800000007</v>
      </c>
      <c r="J6" s="13">
        <f>SUMIFS(Assumptions!$J:$J,Assumptions!$A:$A,$A6,Assumptions!$B:$B,$B$1)</f>
        <v>5.0000000000000001E-3</v>
      </c>
      <c r="K6" s="14">
        <f t="shared" si="3"/>
        <v>0.12391665000000002</v>
      </c>
      <c r="L6" s="14">
        <f t="shared" si="4"/>
        <v>41.493903308000007</v>
      </c>
      <c r="M6" s="13">
        <f>SUMIFS(Assumptions!$D:$D,Assumptions!$A:$A,$A6,Assumptions!$B:$B,$B$1)</f>
        <v>0.08</v>
      </c>
      <c r="N6" s="14">
        <f t="shared" si="5"/>
        <v>44.813415572640011</v>
      </c>
      <c r="O6" s="14">
        <f t="shared" si="6"/>
        <v>26.888049343584004</v>
      </c>
      <c r="P6" s="13">
        <f>SUMIFS(Assumptions!$G:$G,Assumptions!$A:$A,$A6,Assumptions!$B:$B,$B$1)</f>
        <v>0.26</v>
      </c>
      <c r="Q6" s="13">
        <f>SUMIFS(Assumptions!$I:$I,Assumptions!$A:$A,$A6,Assumptions!$B:$B,$B$1)</f>
        <v>8.5000000000000006E-2</v>
      </c>
      <c r="R6" s="14">
        <f t="shared" si="7"/>
        <v>0.59422589049320651</v>
      </c>
      <c r="S6" s="13">
        <f>SUMIFS(Assumptions!$K:$K,Assumptions!$A:$A,$A6,Assumptions!$B:$B,$B$1)</f>
        <v>6.0000000000000001E-3</v>
      </c>
      <c r="T6" s="14">
        <f t="shared" si="8"/>
        <v>0.16132829606150403</v>
      </c>
      <c r="U6" s="14">
        <f t="shared" si="9"/>
        <v>45.246313167071712</v>
      </c>
    </row>
    <row r="7" spans="1:21" ht="19.5" customHeight="1" x14ac:dyDescent="0.25">
      <c r="A7" s="5" t="s">
        <v>18</v>
      </c>
      <c r="B7" s="12">
        <f>SUMIFS(Raw_Data!$D:$D,Raw_Data!$A:$A,$A7)</f>
        <v>23.768999999999998</v>
      </c>
      <c r="C7" s="13">
        <f>SUMIFS(Assumptions!$C:$C,Assumptions!$A:$A,$A7,Assumptions!$B:$B,$B$1)</f>
        <v>0.1</v>
      </c>
      <c r="D7" s="13">
        <f>SUMIFS(Assumptions!$E:$E,Assumptions!$A:$A,$A7,Assumptions!$B:$B,$B$1)</f>
        <v>0.55000000000000004</v>
      </c>
      <c r="E7" s="14">
        <f t="shared" si="0"/>
        <v>26.145900000000001</v>
      </c>
      <c r="F7" s="14">
        <f t="shared" si="1"/>
        <v>14.380245000000002</v>
      </c>
      <c r="G7" s="13">
        <f>SUMIFS(Assumptions!$F:$F,Assumptions!$A:$A,$A7,Assumptions!$B:$B,$B$1)</f>
        <v>0.16</v>
      </c>
      <c r="H7" s="13">
        <f>SUMIFS(Assumptions!$H:$H,Assumptions!$A:$A,$A7,Assumptions!$B:$B,$B$1)</f>
        <v>6.5000000000000002E-2</v>
      </c>
      <c r="I7" s="14">
        <f t="shared" si="2"/>
        <v>0.14955454800000004</v>
      </c>
      <c r="J7" s="13">
        <f>SUMIFS(Assumptions!$J:$J,Assumptions!$A:$A,$A7,Assumptions!$B:$B,$B$1)</f>
        <v>6.0000000000000001E-3</v>
      </c>
      <c r="K7" s="14">
        <f t="shared" si="3"/>
        <v>8.6281470000000013E-2</v>
      </c>
      <c r="L7" s="14">
        <f t="shared" si="4"/>
        <v>26.209173078000003</v>
      </c>
      <c r="M7" s="13">
        <f>SUMIFS(Assumptions!$D:$D,Assumptions!$A:$A,$A7,Assumptions!$B:$B,$B$1)</f>
        <v>0.09</v>
      </c>
      <c r="N7" s="14">
        <f t="shared" si="5"/>
        <v>28.567998655020006</v>
      </c>
      <c r="O7" s="14">
        <f t="shared" si="6"/>
        <v>15.712399260261005</v>
      </c>
      <c r="P7" s="13">
        <f>SUMIFS(Assumptions!$G:$G,Assumptions!$A:$A,$A7,Assumptions!$B:$B,$B$1)</f>
        <v>0.24</v>
      </c>
      <c r="Q7" s="13">
        <f>SUMIFS(Assumptions!$I:$I,Assumptions!$A:$A,$A7,Assumptions!$B:$B,$B$1)</f>
        <v>7.4999999999999997E-2</v>
      </c>
      <c r="R7" s="14">
        <f t="shared" si="7"/>
        <v>0.28282318668469808</v>
      </c>
      <c r="S7" s="13">
        <f>SUMIFS(Assumptions!$K:$K,Assumptions!$A:$A,$A7,Assumptions!$B:$B,$B$1)</f>
        <v>7.0000000000000001E-3</v>
      </c>
      <c r="T7" s="14">
        <f t="shared" si="8"/>
        <v>0.10998679482182704</v>
      </c>
      <c r="U7" s="14">
        <f t="shared" si="9"/>
        <v>28.740835046882879</v>
      </c>
    </row>
    <row r="8" spans="1:21" ht="19.5" customHeight="1" x14ac:dyDescent="0.25">
      <c r="A8" s="5" t="s">
        <v>23</v>
      </c>
      <c r="B8" s="12">
        <f>SUMIFS(Raw_Data!$D:$D,Raw_Data!$A:$A,$A8)</f>
        <v>10.984</v>
      </c>
      <c r="C8" s="13">
        <f>SUMIFS(Assumptions!$C:$C,Assumptions!$A:$A,$A8,Assumptions!$B:$B,$B$1)</f>
        <v>0.21</v>
      </c>
      <c r="D8" s="13">
        <f>SUMIFS(Assumptions!$E:$E,Assumptions!$A:$A,$A8,Assumptions!$B:$B,$B$1)</f>
        <v>0.6</v>
      </c>
      <c r="E8" s="14">
        <f t="shared" si="0"/>
        <v>13.29064</v>
      </c>
      <c r="F8" s="14">
        <f t="shared" si="1"/>
        <v>7.9743839999999997</v>
      </c>
      <c r="G8" s="13">
        <f>SUMIFS(Assumptions!$F:$F,Assumptions!$A:$A,$A8,Assumptions!$B:$B,$B$1)</f>
        <v>0.18</v>
      </c>
      <c r="H8" s="13">
        <f>SUMIFS(Assumptions!$H:$H,Assumptions!$A:$A,$A8,Assumptions!$B:$B,$B$1)</f>
        <v>7.4999999999999997E-2</v>
      </c>
      <c r="I8" s="14">
        <f t="shared" si="2"/>
        <v>0.107654184</v>
      </c>
      <c r="J8" s="13">
        <f>SUMIFS(Assumptions!$J:$J,Assumptions!$A:$A,$A8,Assumptions!$B:$B,$B$1)</f>
        <v>3.0000000000000001E-3</v>
      </c>
      <c r="K8" s="14">
        <f t="shared" si="3"/>
        <v>2.3923152E-2</v>
      </c>
      <c r="L8" s="14">
        <f t="shared" si="4"/>
        <v>13.374371031999999</v>
      </c>
      <c r="M8" s="13">
        <f>SUMIFS(Assumptions!$D:$D,Assumptions!$A:$A,$A8,Assumptions!$B:$B,$B$1)</f>
        <v>0.19</v>
      </c>
      <c r="N8" s="14">
        <f t="shared" si="5"/>
        <v>15.915501528079998</v>
      </c>
      <c r="O8" s="14">
        <f t="shared" si="6"/>
        <v>9.549300916847999</v>
      </c>
      <c r="P8" s="13">
        <f>SUMIFS(Assumptions!$G:$G,Assumptions!$A:$A,$A8,Assumptions!$B:$B,$B$1)</f>
        <v>0.26</v>
      </c>
      <c r="Q8" s="13">
        <f>SUMIFS(Assumptions!$I:$I,Assumptions!$A:$A,$A8,Assumptions!$B:$B,$B$1)</f>
        <v>8.5000000000000006E-2</v>
      </c>
      <c r="R8" s="14">
        <f t="shared" si="7"/>
        <v>0.21103955026234081</v>
      </c>
      <c r="S8" s="13">
        <f>SUMIFS(Assumptions!$K:$K,Assumptions!$A:$A,$A8,Assumptions!$B:$B,$B$1)</f>
        <v>4.0000000000000001E-3</v>
      </c>
      <c r="T8" s="14">
        <f t="shared" si="8"/>
        <v>3.8197203667391995E-2</v>
      </c>
      <c r="U8" s="14">
        <f t="shared" si="9"/>
        <v>16.088343874674948</v>
      </c>
    </row>
    <row r="9" spans="1:21" ht="19.5" customHeight="1" x14ac:dyDescent="0.25">
      <c r="A9" s="5" t="s">
        <v>28</v>
      </c>
      <c r="B9" s="12">
        <f>SUMIFS(Raw_Data!$D:$D,Raw_Data!$A:$A,$A9)</f>
        <v>18.831</v>
      </c>
      <c r="C9" s="13">
        <f>SUMIFS(Assumptions!$C:$C,Assumptions!$A:$A,$A9,Assumptions!$B:$B,$B$1)</f>
        <v>0.12</v>
      </c>
      <c r="D9" s="13">
        <f>SUMIFS(Assumptions!$E:$E,Assumptions!$A:$A,$A9,Assumptions!$B:$B,$B$1)</f>
        <v>0.5</v>
      </c>
      <c r="E9" s="14">
        <f t="shared" si="0"/>
        <v>21.090720000000001</v>
      </c>
      <c r="F9" s="14">
        <f t="shared" si="1"/>
        <v>10.545360000000001</v>
      </c>
      <c r="G9" s="13">
        <f>SUMIFS(Assumptions!$F:$F,Assumptions!$A:$A,$A9,Assumptions!$B:$B,$B$1)</f>
        <v>0.14000000000000001</v>
      </c>
      <c r="H9" s="13">
        <f>SUMIFS(Assumptions!$H:$H,Assumptions!$A:$A,$A9,Assumptions!$B:$B,$B$1)</f>
        <v>5.5E-2</v>
      </c>
      <c r="I9" s="14">
        <f t="shared" si="2"/>
        <v>8.1199272000000017E-2</v>
      </c>
      <c r="J9" s="13">
        <f>SUMIFS(Assumptions!$J:$J,Assumptions!$A:$A,$A9,Assumptions!$B:$B,$B$1)</f>
        <v>3.0000000000000001E-3</v>
      </c>
      <c r="K9" s="14">
        <f t="shared" si="3"/>
        <v>3.1636080000000004E-2</v>
      </c>
      <c r="L9" s="14">
        <f t="shared" si="4"/>
        <v>21.140283192000002</v>
      </c>
      <c r="M9" s="13">
        <f>SUMIFS(Assumptions!$D:$D,Assumptions!$A:$A,$A9,Assumptions!$B:$B,$B$1)</f>
        <v>0.11</v>
      </c>
      <c r="N9" s="14">
        <f t="shared" si="5"/>
        <v>23.465714343120005</v>
      </c>
      <c r="O9" s="14">
        <f t="shared" si="6"/>
        <v>11.732857171560003</v>
      </c>
      <c r="P9" s="13">
        <f>SUMIFS(Assumptions!$G:$G,Assumptions!$A:$A,$A9,Assumptions!$B:$B,$B$1)</f>
        <v>0.22</v>
      </c>
      <c r="Q9" s="13">
        <f>SUMIFS(Assumptions!$I:$I,Assumptions!$A:$A,$A9,Assumptions!$B:$B,$B$1)</f>
        <v>6.5000000000000002E-2</v>
      </c>
      <c r="R9" s="14">
        <f t="shared" si="7"/>
        <v>0.16777985755330804</v>
      </c>
      <c r="S9" s="13">
        <f>SUMIFS(Assumptions!$K:$K,Assumptions!$A:$A,$A9,Assumptions!$B:$B,$B$1)</f>
        <v>4.0000000000000001E-3</v>
      </c>
      <c r="T9" s="14">
        <f t="shared" si="8"/>
        <v>4.6931428686240013E-2</v>
      </c>
      <c r="U9" s="14">
        <f t="shared" si="9"/>
        <v>23.586562771987076</v>
      </c>
    </row>
    <row r="10" spans="1:21" ht="19.5" customHeight="1" x14ac:dyDescent="0.25">
      <c r="A10" s="5" t="s">
        <v>33</v>
      </c>
      <c r="B10" s="12">
        <f>SUMIFS(Raw_Data!$D:$D,Raw_Data!$A:$A,$A10)</f>
        <v>4.4754459999999998</v>
      </c>
      <c r="C10" s="13">
        <f>SUMIFS(Assumptions!$C:$C,Assumptions!$A:$A,$A10,Assumptions!$B:$B,$B$1)</f>
        <v>0.35</v>
      </c>
      <c r="D10" s="13">
        <f>SUMIFS(Assumptions!$E:$E,Assumptions!$A:$A,$A10,Assumptions!$B:$B,$B$1)</f>
        <v>0.75</v>
      </c>
      <c r="E10" s="14">
        <f t="shared" si="0"/>
        <v>6.0418520999999998</v>
      </c>
      <c r="F10" s="14">
        <f t="shared" si="1"/>
        <v>4.5313890749999999</v>
      </c>
      <c r="G10" s="13">
        <f>SUMIFS(Assumptions!$F:$F,Assumptions!$A:$A,$A10,Assumptions!$B:$B,$B$1)</f>
        <v>0.2</v>
      </c>
      <c r="H10" s="13">
        <f>SUMIFS(Assumptions!$H:$H,Assumptions!$A:$A,$A10,Assumptions!$B:$B,$B$1)</f>
        <v>0.09</v>
      </c>
      <c r="I10" s="14">
        <f t="shared" si="2"/>
        <v>8.1565003349999998E-2</v>
      </c>
      <c r="J10" s="13">
        <f>SUMIFS(Assumptions!$J:$J,Assumptions!$A:$A,$A10,Assumptions!$B:$B,$B$1)</f>
        <v>2E-3</v>
      </c>
      <c r="K10" s="14">
        <f t="shared" si="3"/>
        <v>9.0627781500000008E-3</v>
      </c>
      <c r="L10" s="14">
        <f t="shared" si="4"/>
        <v>6.1143543251999999</v>
      </c>
      <c r="M10" s="13">
        <f>SUMIFS(Assumptions!$D:$D,Assumptions!$A:$A,$A10,Assumptions!$B:$B,$B$1)</f>
        <v>0.28000000000000003</v>
      </c>
      <c r="N10" s="14">
        <f t="shared" si="5"/>
        <v>7.8263735362559999</v>
      </c>
      <c r="O10" s="14">
        <f t="shared" si="6"/>
        <v>5.8697801521919999</v>
      </c>
      <c r="P10" s="13">
        <f>SUMIFS(Assumptions!$G:$G,Assumptions!$A:$A,$A10,Assumptions!$B:$B,$B$1)</f>
        <v>0.3</v>
      </c>
      <c r="Q10" s="13">
        <f>SUMIFS(Assumptions!$I:$I,Assumptions!$A:$A,$A10,Assumptions!$B:$B,$B$1)</f>
        <v>0.1</v>
      </c>
      <c r="R10" s="14">
        <f t="shared" si="7"/>
        <v>0.17609340456576</v>
      </c>
      <c r="S10" s="13">
        <f>SUMIFS(Assumptions!$K:$K,Assumptions!$A:$A,$A10,Assumptions!$B:$B,$B$1)</f>
        <v>2.5000000000000001E-3</v>
      </c>
      <c r="T10" s="14">
        <f t="shared" si="8"/>
        <v>1.467445038048E-2</v>
      </c>
      <c r="U10" s="14">
        <f t="shared" si="9"/>
        <v>7.9877924904412803</v>
      </c>
    </row>
    <row r="11" spans="1:21" ht="19.5" customHeight="1" x14ac:dyDescent="0.25">
      <c r="A11" s="15" t="s">
        <v>160</v>
      </c>
      <c r="B11" s="16">
        <f>SUM(B5:B10)</f>
        <v>377.67844599999995</v>
      </c>
      <c r="C11" s="17"/>
      <c r="D11" s="17"/>
      <c r="E11" s="16">
        <f>SUM(E5:E10)</f>
        <v>420.58830209999996</v>
      </c>
      <c r="F11" s="16">
        <f>SUM(F5:F10)</f>
        <v>202.93584607499997</v>
      </c>
      <c r="G11" s="17"/>
      <c r="H11" s="17"/>
      <c r="I11" s="16">
        <f>SUM(I5:I10)</f>
        <v>1.7454351589500001</v>
      </c>
      <c r="J11" s="17"/>
      <c r="K11" s="16">
        <f>SUM(K5:K10)</f>
        <v>0.83770468214999994</v>
      </c>
      <c r="L11" s="16">
        <f>SUM(L5:L10)</f>
        <v>421.49603257680002</v>
      </c>
      <c r="M11" s="17"/>
      <c r="N11" s="16">
        <f>SUM(N5:N10)</f>
        <v>465.06934604087598</v>
      </c>
      <c r="O11" s="16">
        <f>SUM(O5:O10)</f>
        <v>224.76854092703704</v>
      </c>
      <c r="P11" s="17"/>
      <c r="Q11" s="17"/>
      <c r="R11" s="16">
        <f>SUM(R5:R10)</f>
        <v>3.3851654309999728</v>
      </c>
      <c r="S11" s="17"/>
      <c r="T11" s="16">
        <f>SUM(T5:T10)</f>
        <v>1.1461989440304035</v>
      </c>
      <c r="U11" s="16">
        <f>SUM(U5:U10)</f>
        <v>467.30831252784554</v>
      </c>
    </row>
    <row r="12" spans="1:21" ht="19.5" customHeight="1" x14ac:dyDescent="0.25"/>
    <row r="13" spans="1:21" ht="19.5" customHeight="1" x14ac:dyDescent="0.3">
      <c r="A13" s="18" t="s">
        <v>161</v>
      </c>
      <c r="B13" s="19" t="s">
        <v>162</v>
      </c>
    </row>
  </sheetData>
  <conditionalFormatting sqref="K5:K10">
    <cfRule type="expression" dxfId="0" priority="2">
      <formula>K5&gt;I5</formula>
    </cfRule>
  </conditionalFormatting>
  <dataValidations count="1">
    <dataValidation type="list" operator="equal" sqref="B1" xr:uid="{00000000-0002-0000-0400-000000000000}">
      <formula1>"Low,Base,High"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zoomScaleNormal="100" zoomScalePageLayoutView="60" workbookViewId="0"/>
  </sheetViews>
  <sheetFormatPr defaultColWidth="8.6328125" defaultRowHeight="15" customHeight="1" x14ac:dyDescent="0.25"/>
  <cols>
    <col min="1" max="1" width="16" customWidth="1"/>
    <col min="2" max="2" width="14" customWidth="1"/>
    <col min="3" max="3" width="17" customWidth="1"/>
    <col min="4" max="4" width="14" customWidth="1"/>
    <col min="5" max="5" width="17" customWidth="1"/>
    <col min="6" max="6" width="14" customWidth="1"/>
    <col min="7" max="7" width="17" customWidth="1"/>
    <col min="8" max="8" width="23" customWidth="1"/>
    <col min="10" max="10" width="18" customWidth="1"/>
    <col min="11" max="12" width="14" customWidth="1"/>
    <col min="13" max="13" width="12" customWidth="1"/>
    <col min="14" max="14" width="36" customWidth="1"/>
  </cols>
  <sheetData>
    <row r="1" spans="1:14" ht="24" customHeight="1" x14ac:dyDescent="0.4">
      <c r="A1" s="1" t="s">
        <v>163</v>
      </c>
      <c r="J1" s="40" t="s">
        <v>164</v>
      </c>
      <c r="K1" s="37"/>
      <c r="L1" s="37"/>
      <c r="M1" s="37"/>
      <c r="N1" s="37"/>
    </row>
    <row r="2" spans="1:14" ht="30" customHeight="1" x14ac:dyDescent="0.25">
      <c r="A2" s="20" t="s">
        <v>165</v>
      </c>
      <c r="J2" s="39" t="s">
        <v>166</v>
      </c>
      <c r="K2" s="37"/>
      <c r="L2" s="37"/>
      <c r="M2" s="37"/>
      <c r="N2" s="37"/>
    </row>
    <row r="3" spans="1:14" ht="19.5" customHeight="1" x14ac:dyDescent="0.25"/>
    <row r="4" spans="1:14" ht="27.75" customHeight="1" x14ac:dyDescent="0.3">
      <c r="A4" s="21" t="s">
        <v>0</v>
      </c>
      <c r="B4" s="21" t="s">
        <v>167</v>
      </c>
      <c r="C4" s="21" t="s">
        <v>168</v>
      </c>
      <c r="D4" s="21" t="s">
        <v>169</v>
      </c>
      <c r="E4" s="21" t="s">
        <v>170</v>
      </c>
      <c r="F4" s="21" t="s">
        <v>171</v>
      </c>
      <c r="G4" s="21" t="s">
        <v>172</v>
      </c>
      <c r="H4" s="21" t="s">
        <v>173</v>
      </c>
      <c r="J4" s="22" t="s">
        <v>0</v>
      </c>
      <c r="K4" s="22" t="s">
        <v>174</v>
      </c>
      <c r="L4" s="22" t="s">
        <v>175</v>
      </c>
      <c r="M4" s="22" t="s">
        <v>176</v>
      </c>
      <c r="N4" s="22" t="s">
        <v>177</v>
      </c>
    </row>
    <row r="5" spans="1:14" ht="19.5" customHeight="1" x14ac:dyDescent="0.25">
      <c r="A5" s="23" t="s">
        <v>7</v>
      </c>
      <c r="B5" s="24">
        <f>IFERROR(SUMIFS(Raw_Data!$F:$F,Raw_Data!$A:$A,$A5),0)</f>
        <v>4.6144453436696903E-2</v>
      </c>
      <c r="C5" s="24">
        <f t="shared" ref="C5:C10" si="0">1-B5</f>
        <v>0.95385554656330307</v>
      </c>
      <c r="D5" s="24">
        <f>MIN(1,B5+IFERROR(Scenario_Model!I5/Scenario_Model!L5,0))</f>
        <v>4.9379794545500226E-2</v>
      </c>
      <c r="E5" s="24">
        <f t="shared" ref="E5:E10" si="1">1-D5</f>
        <v>0.95062020545449977</v>
      </c>
      <c r="F5" s="24">
        <f>MIN(1,B5+IFERROR(Scenario_Model!I5/Scenario_Model!L5,0)+IFERROR(Scenario_Model!R5/Scenario_Model!U5,0))</f>
        <v>5.5030469238051702E-2</v>
      </c>
      <c r="G5" s="24">
        <f t="shared" ref="G5:G10" si="2">1-F5</f>
        <v>0.94496953076194834</v>
      </c>
      <c r="H5" s="24">
        <f t="shared" ref="H5:H10" si="3">F5-B5</f>
        <v>8.8860158013547991E-3</v>
      </c>
      <c r="J5" s="25" t="s">
        <v>7</v>
      </c>
      <c r="K5" s="26">
        <f t="shared" ref="K5:K10" si="4">B5</f>
        <v>4.6144453436696903E-2</v>
      </c>
      <c r="L5" s="26">
        <f t="shared" ref="L5:L10" si="5">F5</f>
        <v>5.5030469238051702E-2</v>
      </c>
      <c r="M5" s="26">
        <f t="shared" ref="M5:M10" si="6">H5</f>
        <v>8.8860158013547991E-3</v>
      </c>
      <c r="N5" s="25" t="s">
        <v>178</v>
      </c>
    </row>
    <row r="6" spans="1:14" ht="19.5" customHeight="1" x14ac:dyDescent="0.25">
      <c r="A6" s="27" t="s">
        <v>13</v>
      </c>
      <c r="B6" s="28">
        <f>IFERROR(SUMIFS(Raw_Data!$F:$F,Raw_Data!$A:$A,$A6),0)</f>
        <v>2.3749835070589798E-2</v>
      </c>
      <c r="C6" s="28">
        <f t="shared" si="0"/>
        <v>0.97625016492941019</v>
      </c>
      <c r="D6" s="28">
        <f>MIN(1,B6+IFERROR(Scenario_Model!I6/Scenario_Model!L6,0))</f>
        <v>3.1275517956629459E-2</v>
      </c>
      <c r="E6" s="28">
        <f t="shared" si="1"/>
        <v>0.96872448204337058</v>
      </c>
      <c r="F6" s="28">
        <f>MIN(1,B6+IFERROR(Scenario_Model!I6/Scenario_Model!L6,0)+IFERROR(Scenario_Model!R6/Scenario_Model!U6,0))</f>
        <v>4.4408651882901669E-2</v>
      </c>
      <c r="G6" s="28">
        <f t="shared" si="2"/>
        <v>0.95559134811709834</v>
      </c>
      <c r="H6" s="28">
        <f t="shared" si="3"/>
        <v>2.0658816812311871E-2</v>
      </c>
      <c r="J6" s="25" t="s">
        <v>13</v>
      </c>
      <c r="K6" s="26">
        <f t="shared" si="4"/>
        <v>2.3749835070589798E-2</v>
      </c>
      <c r="L6" s="26">
        <f t="shared" si="5"/>
        <v>4.4408651882901669E-2</v>
      </c>
      <c r="M6" s="26">
        <f t="shared" si="6"/>
        <v>2.0658816812311871E-2</v>
      </c>
      <c r="N6" s="25" t="s">
        <v>179</v>
      </c>
    </row>
    <row r="7" spans="1:14" ht="19.5" customHeight="1" x14ac:dyDescent="0.25">
      <c r="A7" s="23" t="s">
        <v>18</v>
      </c>
      <c r="B7" s="24">
        <f>IFERROR(SUMIFS(Raw_Data!$F:$F,Raw_Data!$A:$A,$A7),0)</f>
        <v>0</v>
      </c>
      <c r="C7" s="24">
        <f t="shared" si="0"/>
        <v>1</v>
      </c>
      <c r="D7" s="24">
        <f>MIN(1,B7+IFERROR(Scenario_Model!I7/Scenario_Model!L7,0))</f>
        <v>5.7061910177370768E-3</v>
      </c>
      <c r="E7" s="24">
        <f t="shared" si="1"/>
        <v>0.99429380898226294</v>
      </c>
      <c r="F7" s="24">
        <f>MIN(1,B7+IFERROR(Scenario_Model!I7/Scenario_Model!L7,0)+IFERROR(Scenario_Model!R7/Scenario_Model!U7,0))</f>
        <v>1.5546656203364035E-2</v>
      </c>
      <c r="G7" s="24">
        <f t="shared" si="2"/>
        <v>0.98445334379663596</v>
      </c>
      <c r="H7" s="24">
        <f t="shared" si="3"/>
        <v>1.5546656203364035E-2</v>
      </c>
      <c r="J7" s="25" t="s">
        <v>18</v>
      </c>
      <c r="K7" s="26">
        <f t="shared" si="4"/>
        <v>0</v>
      </c>
      <c r="L7" s="26">
        <f t="shared" si="5"/>
        <v>1.5546656203364035E-2</v>
      </c>
      <c r="M7" s="26">
        <f t="shared" si="6"/>
        <v>1.5546656203364035E-2</v>
      </c>
      <c r="N7" s="25" t="s">
        <v>180</v>
      </c>
    </row>
    <row r="8" spans="1:14" ht="19.5" customHeight="1" x14ac:dyDescent="0.25">
      <c r="A8" s="27" t="s">
        <v>23</v>
      </c>
      <c r="B8" s="28">
        <f>IFERROR(SUMIFS(Raw_Data!$F:$F,Raw_Data!$A:$A,$A8),0)</f>
        <v>1.82083029861617E-2</v>
      </c>
      <c r="C8" s="28">
        <f t="shared" si="0"/>
        <v>0.98179169701383828</v>
      </c>
      <c r="D8" s="28">
        <f>MIN(1,B8+IFERROR(Scenario_Model!I8/Scenario_Model!L8,0))</f>
        <v>2.6257592462461017E-2</v>
      </c>
      <c r="E8" s="28">
        <f t="shared" si="1"/>
        <v>0.97374240753753893</v>
      </c>
      <c r="F8" s="28">
        <f>MIN(1,B8+IFERROR(Scenario_Model!I8/Scenario_Model!L8,0)+IFERROR(Scenario_Model!R8/Scenario_Model!U8,0))</f>
        <v>3.9375135940291781E-2</v>
      </c>
      <c r="G8" s="28">
        <f t="shared" si="2"/>
        <v>0.96062486405970826</v>
      </c>
      <c r="H8" s="28">
        <f t="shared" si="3"/>
        <v>2.1166832954130081E-2</v>
      </c>
      <c r="J8" s="25" t="s">
        <v>23</v>
      </c>
      <c r="K8" s="26">
        <f t="shared" si="4"/>
        <v>1.82083029861617E-2</v>
      </c>
      <c r="L8" s="26">
        <f t="shared" si="5"/>
        <v>3.9375135940291781E-2</v>
      </c>
      <c r="M8" s="26">
        <f t="shared" si="6"/>
        <v>2.1166832954130081E-2</v>
      </c>
      <c r="N8" s="25" t="s">
        <v>181</v>
      </c>
    </row>
    <row r="9" spans="1:14" ht="19.5" customHeight="1" x14ac:dyDescent="0.25">
      <c r="A9" s="23" t="s">
        <v>28</v>
      </c>
      <c r="B9" s="24">
        <f>IFERROR(SUMIFS(Raw_Data!$F:$F,Raw_Data!$A:$A,$A9),0)</f>
        <v>0</v>
      </c>
      <c r="C9" s="24">
        <f t="shared" si="0"/>
        <v>1</v>
      </c>
      <c r="D9" s="24">
        <f>MIN(1,B9+IFERROR(Scenario_Model!I9/Scenario_Model!L9,0))</f>
        <v>3.8409737117773238E-3</v>
      </c>
      <c r="E9" s="24">
        <f t="shared" si="1"/>
        <v>0.99615902628822273</v>
      </c>
      <c r="F9" s="24">
        <f>MIN(1,B9+IFERROR(Scenario_Model!I9/Scenario_Model!L9,0)+IFERROR(Scenario_Model!R9/Scenario_Model!U9,0))</f>
        <v>1.0954339876031415E-2</v>
      </c>
      <c r="G9" s="24">
        <f t="shared" si="2"/>
        <v>0.98904566012396855</v>
      </c>
      <c r="H9" s="24">
        <f t="shared" si="3"/>
        <v>1.0954339876031415E-2</v>
      </c>
      <c r="J9" s="25" t="s">
        <v>28</v>
      </c>
      <c r="K9" s="26">
        <f t="shared" si="4"/>
        <v>0</v>
      </c>
      <c r="L9" s="26">
        <f t="shared" si="5"/>
        <v>1.0954339876031415E-2</v>
      </c>
      <c r="M9" s="26">
        <f t="shared" si="6"/>
        <v>1.0954339876031415E-2</v>
      </c>
      <c r="N9" s="25" t="s">
        <v>182</v>
      </c>
    </row>
    <row r="10" spans="1:14" ht="19.5" customHeight="1" x14ac:dyDescent="0.25">
      <c r="A10" s="27" t="s">
        <v>33</v>
      </c>
      <c r="B10" s="28">
        <f>IFERROR(SUMIFS(Raw_Data!$F:$F,Raw_Data!$A:$A,$A10),0)</f>
        <v>0</v>
      </c>
      <c r="C10" s="28">
        <f t="shared" si="0"/>
        <v>1</v>
      </c>
      <c r="D10" s="28">
        <f>MIN(1,B10+IFERROR(Scenario_Model!I10/Scenario_Model!L10,0))</f>
        <v>1.33399209486166E-2</v>
      </c>
      <c r="E10" s="28">
        <f t="shared" si="1"/>
        <v>0.98666007905138342</v>
      </c>
      <c r="F10" s="28">
        <f>MIN(1,B10+IFERROR(Scenario_Model!I10/Scenario_Model!L10,0)+IFERROR(Scenario_Model!R10/Scenario_Model!U10,0))</f>
        <v>3.5385236319100372E-2</v>
      </c>
      <c r="G10" s="28">
        <f t="shared" si="2"/>
        <v>0.9646147636808996</v>
      </c>
      <c r="H10" s="28">
        <f t="shared" si="3"/>
        <v>3.5385236319100372E-2</v>
      </c>
      <c r="J10" s="25" t="s">
        <v>33</v>
      </c>
      <c r="K10" s="26">
        <f t="shared" si="4"/>
        <v>0</v>
      </c>
      <c r="L10" s="26">
        <f t="shared" si="5"/>
        <v>3.5385236319100372E-2</v>
      </c>
      <c r="M10" s="26">
        <f t="shared" si="6"/>
        <v>3.5385236319100372E-2</v>
      </c>
      <c r="N10" s="25" t="s">
        <v>183</v>
      </c>
    </row>
    <row r="12" spans="1:14" ht="15" customHeight="1" x14ac:dyDescent="0.3">
      <c r="J12" s="38" t="s">
        <v>184</v>
      </c>
      <c r="K12" s="37"/>
      <c r="L12" s="37"/>
      <c r="M12" s="37"/>
      <c r="N12" s="37"/>
    </row>
    <row r="13" spans="1:14" ht="33.75" customHeight="1" x14ac:dyDescent="0.25">
      <c r="J13" s="36" t="s">
        <v>185</v>
      </c>
      <c r="K13" s="37"/>
      <c r="L13" s="37"/>
      <c r="M13" s="37"/>
      <c r="N13" s="37"/>
    </row>
    <row r="14" spans="1:14" ht="33.75" customHeight="1" x14ac:dyDescent="0.25">
      <c r="J14" s="36" t="s">
        <v>186</v>
      </c>
      <c r="K14" s="37"/>
      <c r="L14" s="37"/>
      <c r="M14" s="37"/>
      <c r="N14" s="37"/>
    </row>
    <row r="15" spans="1:14" ht="33.75" customHeight="1" x14ac:dyDescent="0.25">
      <c r="J15" s="36" t="s">
        <v>187</v>
      </c>
      <c r="K15" s="37"/>
      <c r="L15" s="37"/>
      <c r="M15" s="37"/>
      <c r="N15" s="37"/>
    </row>
  </sheetData>
  <mergeCells count="6">
    <mergeCell ref="J15:N15"/>
    <mergeCell ref="J12:N12"/>
    <mergeCell ref="J2:N2"/>
    <mergeCell ref="J14:N14"/>
    <mergeCell ref="J1:N1"/>
    <mergeCell ref="J13:N1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9"/>
  <sheetViews>
    <sheetView topLeftCell="F1" zoomScaleNormal="100" zoomScalePageLayoutView="60" workbookViewId="0">
      <selection activeCell="B12" sqref="B12"/>
    </sheetView>
  </sheetViews>
  <sheetFormatPr defaultColWidth="8.6328125" defaultRowHeight="15" customHeight="1" x14ac:dyDescent="0.25"/>
  <cols>
    <col min="1" max="1" width="16" customWidth="1"/>
    <col min="2" max="2" width="14" customWidth="1"/>
    <col min="3" max="3" width="16" customWidth="1"/>
    <col min="4" max="4" width="12" customWidth="1"/>
    <col min="6" max="6" width="16" customWidth="1"/>
    <col min="7" max="9" width="14" customWidth="1"/>
    <col min="11" max="11" width="16" customWidth="1"/>
    <col min="12" max="12" width="14" customWidth="1"/>
    <col min="13" max="13" width="18" customWidth="1"/>
    <col min="15" max="15" width="16" customWidth="1"/>
    <col min="16" max="17" width="14" customWidth="1"/>
  </cols>
  <sheetData>
    <row r="1" spans="1:17" ht="24" customHeight="1" x14ac:dyDescent="0.4">
      <c r="A1" s="42" t="s">
        <v>310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9.5" customHeight="1" x14ac:dyDescent="0.25">
      <c r="A2" s="41" t="s">
        <v>188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9.5" customHeight="1" x14ac:dyDescent="0.3">
      <c r="G3" s="29" t="s">
        <v>119</v>
      </c>
      <c r="H3" s="29" t="s">
        <v>121</v>
      </c>
      <c r="I3" s="29" t="s">
        <v>123</v>
      </c>
    </row>
    <row r="4" spans="1:17" ht="27.75" customHeight="1" x14ac:dyDescent="0.3">
      <c r="A4" s="30" t="s">
        <v>0</v>
      </c>
      <c r="B4" s="30" t="s">
        <v>142</v>
      </c>
      <c r="C4" s="30" t="s">
        <v>159</v>
      </c>
      <c r="D4" s="30" t="s">
        <v>171</v>
      </c>
      <c r="F4" s="30" t="s">
        <v>0</v>
      </c>
      <c r="G4" s="30" t="s">
        <v>189</v>
      </c>
      <c r="H4" s="30" t="s">
        <v>190</v>
      </c>
      <c r="I4" s="30" t="s">
        <v>191</v>
      </c>
      <c r="K4" s="30" t="s">
        <v>0</v>
      </c>
      <c r="L4" s="30" t="s">
        <v>157</v>
      </c>
      <c r="M4" s="30" t="s">
        <v>158</v>
      </c>
      <c r="O4" s="30" t="s">
        <v>0</v>
      </c>
      <c r="P4" s="30" t="s">
        <v>167</v>
      </c>
      <c r="Q4" s="30" t="s">
        <v>171</v>
      </c>
    </row>
    <row r="5" spans="1:17" ht="19.5" customHeight="1" x14ac:dyDescent="0.35">
      <c r="A5" s="31" t="s">
        <v>7</v>
      </c>
      <c r="B5" s="32">
        <f>Scenario_Model!B5</f>
        <v>281.72399999999999</v>
      </c>
      <c r="C5" s="32">
        <f>Scenario_Model!U5</f>
        <v>345.65846517678767</v>
      </c>
      <c r="D5" s="33">
        <f>Revenue_Mix!F5</f>
        <v>5.5030469238051702E-2</v>
      </c>
      <c r="F5" s="31" t="s">
        <v>7</v>
      </c>
      <c r="G5" s="32">
        <f>((SUMIFS(Raw_Data!$D:$D,Raw_Data!$A:$A,$F5)*(1+SUMIFS(Assumptions!$C:$C,Assumptions!$A:$A,$F5,Assumptions!$B:$B,"Low"))+(SUMIFS(Raw_Data!$D:$D,Raw_Data!$A:$A,$F5)*(1+SUMIFS(Assumptions!$C:$C,Assumptions!$A:$A,$F5,Assumptions!$B:$B,"Low"))*SUMIFS(Assumptions!$E:$E,Assumptions!$A:$A,$F5,Assumptions!$B:$B,"Low")*SUMIFS(Assumptions!$F:$F,Assumptions!$A:$A,$F5,Assumptions!$B:$B,"Low")*SUMIFS(Assumptions!$H:$H,Assumptions!$A:$A,$F5,Assumptions!$B:$B,"Low"))-(SUMIFS(Raw_Data!$D:$D,Raw_Data!$A:$A,$F5)*(1+SUMIFS(Assumptions!$C:$C,Assumptions!$A:$A,$F5,Assumptions!$B:$B,"Low"))*SUMIFS(Assumptions!$E:$E,Assumptions!$A:$A,$F5,Assumptions!$B:$B,"Low")*SUMIFS(Assumptions!$J:$J,Assumptions!$A:$A,$F5,Assumptions!$B:$B,"Low")))*(1+SUMIFS(Assumptions!$D:$D,Assumptions!$A:$A,$F5,Assumptions!$B:$B,"Low"))+(((SUMIFS(Raw_Data!$D:$D,Raw_Data!$A:$A,$F5)*(1+SUMIFS(Assumptions!$C:$C,Assumptions!$A:$A,$F5,Assumptions!$B:$B,"Low"))+(SUMIFS(Raw_Data!$D:$D,Raw_Data!$A:$A,$F5)*(1+SUMIFS(Assumptions!$C:$C,Assumptions!$A:$A,$F5,Assumptions!$B:$B,"Low"))*SUMIFS(Assumptions!$E:$E,Assumptions!$A:$A,$F5,Assumptions!$B:$B,"Low")*SUMIFS(Assumptions!$F:$F,Assumptions!$A:$A,$F5,Assumptions!$B:$B,"Low")*SUMIFS(Assumptions!$H:$H,Assumptions!$A:$A,$F5,Assumptions!$B:$B,"Low"))-(SUMIFS(Raw_Data!$D:$D,Raw_Data!$A:$A,$F5)*(1+SUMIFS(Assumptions!$C:$C,Assumptions!$A:$A,$F5,Assumptions!$B:$B,"Low"))*SUMIFS(Assumptions!$E:$E,Assumptions!$A:$A,$F5,Assumptions!$B:$B,"Low")*SUMIFS(Assumptions!$J:$J,Assumptions!$A:$A,$F5,Assumptions!$B:$B,"Low")))*(1+SUMIFS(Assumptions!$D:$D,Assumptions!$A:$A,$F5,Assumptions!$B:$B,"Low"))*SUMIFS(Assumptions!$E:$E,Assumptions!$A:$A,$F5,Assumptions!$B:$B,"Low")*SUMIFS(Assumptions!$G:$G,Assumptions!$A:$A,$F5,Assumptions!$B:$B,"Low")*SUMIFS(Assumptions!$I:$I,Assumptions!$A:$A,$F5,Assumptions!$B:$B,"Low"))-(((SUMIFS(Raw_Data!$D:$D,Raw_Data!$A:$A,$F5)*(1+SUMIFS(Assumptions!$C:$C,Assumptions!$A:$A,$F5,Assumptions!$B:$B,"Low"))+(SUMIFS(Raw_Data!$D:$D,Raw_Data!$A:$A,$F5)*(1+SUMIFS(Assumptions!$C:$C,Assumptions!$A:$A,$F5,Assumptions!$B:$B,"Low"))*SUMIFS(Assumptions!$E:$E,Assumptions!$A:$A,$F5,Assumptions!$B:$B,"Low")*SUMIFS(Assumptions!$F:$F,Assumptions!$A:$A,$F5,Assumptions!$B:$B,"Low")*SUMIFS(Assumptions!$H:$H,Assumptions!$A:$A,$F5,Assumptions!$B:$B,"Low"))-(SUMIFS(Raw_Data!$D:$D,Raw_Data!$A:$A,$F5)*(1+SUMIFS(Assumptions!$C:$C,Assumptions!$A:$A,$F5,Assumptions!$B:$B,"Low"))*SUMIFS(Assumptions!$E:$E,Assumptions!$A:$A,$F5,Assumptions!$B:$B,"Low")*SUMIFS(Assumptions!$J:$J,Assumptions!$A:$A,$F5,Assumptions!$B:$B,"Low")))*(1+SUMIFS(Assumptions!$D:$D,Assumptions!$A:$A,$F5,Assumptions!$B:$B,"Low"))*SUMIFS(Assumptions!$E:$E,Assumptions!$A:$A,$F5,Assumptions!$B:$B,"Low")*SUMIFS(Assumptions!$K:$K,Assumptions!$A:$A,$F5,Assumptions!$B:$B,"Low")))))</f>
        <v>332.08667880919887</v>
      </c>
      <c r="H5" s="32">
        <f>((SUMIFS(Raw_Data!$D:$D,Raw_Data!$A:$A,$F5)*(1+SUMIFS(Assumptions!$C:$C,Assumptions!$A:$A,$F5,Assumptions!$B:$B,"Base"))+(SUMIFS(Raw_Data!$D:$D,Raw_Data!$A:$A,$F5)*(1+SUMIFS(Assumptions!$C:$C,Assumptions!$A:$A,$F5,Assumptions!$B:$B,"Base"))*SUMIFS(Assumptions!$E:$E,Assumptions!$A:$A,$F5,Assumptions!$B:$B,"Base")*SUMIFS(Assumptions!$F:$F,Assumptions!$A:$A,$F5,Assumptions!$B:$B,"Base")*SUMIFS(Assumptions!$H:$H,Assumptions!$A:$A,$F5,Assumptions!$B:$B,"Base"))-(SUMIFS(Raw_Data!$D:$D,Raw_Data!$A:$A,$F5)*(1+SUMIFS(Assumptions!$C:$C,Assumptions!$A:$A,$F5,Assumptions!$B:$B,"Base"))*SUMIFS(Assumptions!$E:$E,Assumptions!$A:$A,$F5,Assumptions!$B:$B,"Base")*SUMIFS(Assumptions!$J:$J,Assumptions!$A:$A,$F5,Assumptions!$B:$B,"Base")))*(1+SUMIFS(Assumptions!$D:$D,Assumptions!$A:$A,$F5,Assumptions!$B:$B,"Base"))+(((SUMIFS(Raw_Data!$D:$D,Raw_Data!$A:$A,$F5)*(1+SUMIFS(Assumptions!$C:$C,Assumptions!$A:$A,$F5,Assumptions!$B:$B,"Base"))+(SUMIFS(Raw_Data!$D:$D,Raw_Data!$A:$A,$F5)*(1+SUMIFS(Assumptions!$C:$C,Assumptions!$A:$A,$F5,Assumptions!$B:$B,"Base"))*SUMIFS(Assumptions!$E:$E,Assumptions!$A:$A,$F5,Assumptions!$B:$B,"Base")*SUMIFS(Assumptions!$F:$F,Assumptions!$A:$A,$F5,Assumptions!$B:$B,"Base")*SUMIFS(Assumptions!$H:$H,Assumptions!$A:$A,$F5,Assumptions!$B:$B,"Base"))-(SUMIFS(Raw_Data!$D:$D,Raw_Data!$A:$A,$F5)*(1+SUMIFS(Assumptions!$C:$C,Assumptions!$A:$A,$F5,Assumptions!$B:$B,"Base"))*SUMIFS(Assumptions!$E:$E,Assumptions!$A:$A,$F5,Assumptions!$B:$B,"Base")*SUMIFS(Assumptions!$J:$J,Assumptions!$A:$A,$F5,Assumptions!$B:$B,"Base")))*(1+SUMIFS(Assumptions!$D:$D,Assumptions!$A:$A,$F5,Assumptions!$B:$B,"Base"))*SUMIFS(Assumptions!$E:$E,Assumptions!$A:$A,$F5,Assumptions!$B:$B,"Base")*SUMIFS(Assumptions!$G:$G,Assumptions!$A:$A,$F5,Assumptions!$B:$B,"Base")*SUMIFS(Assumptions!$I:$I,Assumptions!$A:$A,$F5,Assumptions!$B:$B,"Base"))-(((SUMIFS(Raw_Data!$D:$D,Raw_Data!$A:$A,$F5)*(1+SUMIFS(Assumptions!$C:$C,Assumptions!$A:$A,$F5,Assumptions!$B:$B,"Base"))+(SUMIFS(Raw_Data!$D:$D,Raw_Data!$A:$A,$F5)*(1+SUMIFS(Assumptions!$C:$C,Assumptions!$A:$A,$F5,Assumptions!$B:$B,"Base"))*SUMIFS(Assumptions!$E:$E,Assumptions!$A:$A,$F5,Assumptions!$B:$B,"Base")*SUMIFS(Assumptions!$F:$F,Assumptions!$A:$A,$F5,Assumptions!$B:$B,"Base")*SUMIFS(Assumptions!$H:$H,Assumptions!$A:$A,$F5,Assumptions!$B:$B,"Base"))-(SUMIFS(Raw_Data!$D:$D,Raw_Data!$A:$A,$F5)*(1+SUMIFS(Assumptions!$C:$C,Assumptions!$A:$A,$F5,Assumptions!$B:$B,"Base"))*SUMIFS(Assumptions!$E:$E,Assumptions!$A:$A,$F5,Assumptions!$B:$B,"Base")*SUMIFS(Assumptions!$J:$J,Assumptions!$A:$A,$F5,Assumptions!$B:$B,"Base")))*(1+SUMIFS(Assumptions!$D:$D,Assumptions!$A:$A,$F5,Assumptions!$B:$B,"Base"))*SUMIFS(Assumptions!$E:$E,Assumptions!$A:$A,$F5,Assumptions!$B:$B,"Base")*SUMIFS(Assumptions!$K:$K,Assumptions!$A:$A,$F5,Assumptions!$B:$B,"Base")))))</f>
        <v>345.65846517678767</v>
      </c>
      <c r="I5" s="32">
        <f>((SUMIFS(Raw_Data!$D:$D,Raw_Data!$A:$A,$F5)*(1+SUMIFS(Assumptions!$C:$C,Assumptions!$A:$A,$F5,Assumptions!$B:$B,"High"))+(SUMIFS(Raw_Data!$D:$D,Raw_Data!$A:$A,$F5)*(1+SUMIFS(Assumptions!$C:$C,Assumptions!$A:$A,$F5,Assumptions!$B:$B,"High"))*SUMIFS(Assumptions!$E:$E,Assumptions!$A:$A,$F5,Assumptions!$B:$B,"High")*SUMIFS(Assumptions!$F:$F,Assumptions!$A:$A,$F5,Assumptions!$B:$B,"High")*SUMIFS(Assumptions!$H:$H,Assumptions!$A:$A,$F5,Assumptions!$B:$B,"High"))-(SUMIFS(Raw_Data!$D:$D,Raw_Data!$A:$A,$F5)*(1+SUMIFS(Assumptions!$C:$C,Assumptions!$A:$A,$F5,Assumptions!$B:$B,"High"))*SUMIFS(Assumptions!$E:$E,Assumptions!$A:$A,$F5,Assumptions!$B:$B,"High")*SUMIFS(Assumptions!$J:$J,Assumptions!$A:$A,$F5,Assumptions!$B:$B,"High")))*(1+SUMIFS(Assumptions!$D:$D,Assumptions!$A:$A,$F5,Assumptions!$B:$B,"High"))+(((SUMIFS(Raw_Data!$D:$D,Raw_Data!$A:$A,$F5)*(1+SUMIFS(Assumptions!$C:$C,Assumptions!$A:$A,$F5,Assumptions!$B:$B,"High"))+(SUMIFS(Raw_Data!$D:$D,Raw_Data!$A:$A,$F5)*(1+SUMIFS(Assumptions!$C:$C,Assumptions!$A:$A,$F5,Assumptions!$B:$B,"High"))*SUMIFS(Assumptions!$E:$E,Assumptions!$A:$A,$F5,Assumptions!$B:$B,"High")*SUMIFS(Assumptions!$F:$F,Assumptions!$A:$A,$F5,Assumptions!$B:$B,"High")*SUMIFS(Assumptions!$H:$H,Assumptions!$A:$A,$F5,Assumptions!$B:$B,"High"))-(SUMIFS(Raw_Data!$D:$D,Raw_Data!$A:$A,$F5)*(1+SUMIFS(Assumptions!$C:$C,Assumptions!$A:$A,$F5,Assumptions!$B:$B,"High"))*SUMIFS(Assumptions!$E:$E,Assumptions!$A:$A,$F5,Assumptions!$B:$B,"High")*SUMIFS(Assumptions!$J:$J,Assumptions!$A:$A,$F5,Assumptions!$B:$B,"High")))*(1+SUMIFS(Assumptions!$D:$D,Assumptions!$A:$A,$F5,Assumptions!$B:$B,"High"))*SUMIFS(Assumptions!$E:$E,Assumptions!$A:$A,$F5,Assumptions!$B:$B,"High")*SUMIFS(Assumptions!$G:$G,Assumptions!$A:$A,$F5,Assumptions!$B:$B,"High")*SUMIFS(Assumptions!$I:$I,Assumptions!$A:$A,$F5,Assumptions!$B:$B,"High"))-(((SUMIFS(Raw_Data!$D:$D,Raw_Data!$A:$A,$F5)*(1+SUMIFS(Assumptions!$C:$C,Assumptions!$A:$A,$F5,Assumptions!$B:$B,"High"))+(SUMIFS(Raw_Data!$D:$D,Raw_Data!$A:$A,$F5)*(1+SUMIFS(Assumptions!$C:$C,Assumptions!$A:$A,$F5,Assumptions!$B:$B,"High"))*SUMIFS(Assumptions!$E:$E,Assumptions!$A:$A,$F5,Assumptions!$B:$B,"High")*SUMIFS(Assumptions!$F:$F,Assumptions!$A:$A,$F5,Assumptions!$B:$B,"High")*SUMIFS(Assumptions!$H:$H,Assumptions!$A:$A,$F5,Assumptions!$B:$B,"High"))-(SUMIFS(Raw_Data!$D:$D,Raw_Data!$A:$A,$F5)*(1+SUMIFS(Assumptions!$C:$C,Assumptions!$A:$A,$F5,Assumptions!$B:$B,"High"))*SUMIFS(Assumptions!$E:$E,Assumptions!$A:$A,$F5,Assumptions!$B:$B,"High")*SUMIFS(Assumptions!$J:$J,Assumptions!$A:$A,$F5,Assumptions!$B:$B,"High")))*(1+SUMIFS(Assumptions!$D:$D,Assumptions!$A:$A,$F5,Assumptions!$B:$B,"High"))*SUMIFS(Assumptions!$E:$E,Assumptions!$A:$A,$F5,Assumptions!$B:$B,"High")*SUMIFS(Assumptions!$K:$K,Assumptions!$A:$A,$F5,Assumptions!$B:$B,"High")))))</f>
        <v>361.74330674575805</v>
      </c>
      <c r="K5" s="31" t="s">
        <v>7</v>
      </c>
      <c r="L5" s="32">
        <f>Scenario_Model!R5</f>
        <v>1.9532035414406594</v>
      </c>
      <c r="M5" s="32">
        <f>Scenario_Model!T5</f>
        <v>0.77508077041296009</v>
      </c>
      <c r="O5" s="31" t="s">
        <v>7</v>
      </c>
      <c r="P5" s="33">
        <f>Revenue_Mix!B5</f>
        <v>4.6144453436696903E-2</v>
      </c>
      <c r="Q5" s="33">
        <f>Revenue_Mix!F5</f>
        <v>5.5030469238051702E-2</v>
      </c>
    </row>
    <row r="6" spans="1:17" ht="19.5" customHeight="1" x14ac:dyDescent="0.35">
      <c r="A6" s="31" t="s">
        <v>13</v>
      </c>
      <c r="B6" s="32">
        <f>Scenario_Model!B6</f>
        <v>37.895000000000003</v>
      </c>
      <c r="C6" s="32">
        <f>Scenario_Model!U6</f>
        <v>45.246313167071712</v>
      </c>
      <c r="D6" s="33">
        <f>Revenue_Mix!F6</f>
        <v>4.4408651882901669E-2</v>
      </c>
      <c r="F6" s="31" t="s">
        <v>13</v>
      </c>
      <c r="G6" s="32">
        <f>((SUMIFS(Raw_Data!$D:$D,Raw_Data!$A:$A,$F6)*(1+SUMIFS(Assumptions!$C:$C,Assumptions!$A:$A,$F6,Assumptions!$B:$B,"Low"))+(SUMIFS(Raw_Data!$D:$D,Raw_Data!$A:$A,$F6)*(1+SUMIFS(Assumptions!$C:$C,Assumptions!$A:$A,$F6,Assumptions!$B:$B,"Low"))*SUMIFS(Assumptions!$E:$E,Assumptions!$A:$A,$F6,Assumptions!$B:$B,"Low")*SUMIFS(Assumptions!$F:$F,Assumptions!$A:$A,$F6,Assumptions!$B:$B,"Low")*SUMIFS(Assumptions!$H:$H,Assumptions!$A:$A,$F6,Assumptions!$B:$B,"Low"))-(SUMIFS(Raw_Data!$D:$D,Raw_Data!$A:$A,$F6)*(1+SUMIFS(Assumptions!$C:$C,Assumptions!$A:$A,$F6,Assumptions!$B:$B,"Low"))*SUMIFS(Assumptions!$E:$E,Assumptions!$A:$A,$F6,Assumptions!$B:$B,"Low")*SUMIFS(Assumptions!$J:$J,Assumptions!$A:$A,$F6,Assumptions!$B:$B,"Low")))*(1+SUMIFS(Assumptions!$D:$D,Assumptions!$A:$A,$F6,Assumptions!$B:$B,"Low"))+(((SUMIFS(Raw_Data!$D:$D,Raw_Data!$A:$A,$F6)*(1+SUMIFS(Assumptions!$C:$C,Assumptions!$A:$A,$F6,Assumptions!$B:$B,"Low"))+(SUMIFS(Raw_Data!$D:$D,Raw_Data!$A:$A,$F6)*(1+SUMIFS(Assumptions!$C:$C,Assumptions!$A:$A,$F6,Assumptions!$B:$B,"Low"))*SUMIFS(Assumptions!$E:$E,Assumptions!$A:$A,$F6,Assumptions!$B:$B,"Low")*SUMIFS(Assumptions!$F:$F,Assumptions!$A:$A,$F6,Assumptions!$B:$B,"Low")*SUMIFS(Assumptions!$H:$H,Assumptions!$A:$A,$F6,Assumptions!$B:$B,"Low"))-(SUMIFS(Raw_Data!$D:$D,Raw_Data!$A:$A,$F6)*(1+SUMIFS(Assumptions!$C:$C,Assumptions!$A:$A,$F6,Assumptions!$B:$B,"Low"))*SUMIFS(Assumptions!$E:$E,Assumptions!$A:$A,$F6,Assumptions!$B:$B,"Low")*SUMIFS(Assumptions!$J:$J,Assumptions!$A:$A,$F6,Assumptions!$B:$B,"Low")))*(1+SUMIFS(Assumptions!$D:$D,Assumptions!$A:$A,$F6,Assumptions!$B:$B,"Low"))*SUMIFS(Assumptions!$E:$E,Assumptions!$A:$A,$F6,Assumptions!$B:$B,"Low")*SUMIFS(Assumptions!$G:$G,Assumptions!$A:$A,$F6,Assumptions!$B:$B,"Low")*SUMIFS(Assumptions!$I:$I,Assumptions!$A:$A,$F6,Assumptions!$B:$B,"Low"))-(((SUMIFS(Raw_Data!$D:$D,Raw_Data!$A:$A,$F6)*(1+SUMIFS(Assumptions!$C:$C,Assumptions!$A:$A,$F6,Assumptions!$B:$B,"Low"))+(SUMIFS(Raw_Data!$D:$D,Raw_Data!$A:$A,$F6)*(1+SUMIFS(Assumptions!$C:$C,Assumptions!$A:$A,$F6,Assumptions!$B:$B,"Low"))*SUMIFS(Assumptions!$E:$E,Assumptions!$A:$A,$F6,Assumptions!$B:$B,"Low")*SUMIFS(Assumptions!$F:$F,Assumptions!$A:$A,$F6,Assumptions!$B:$B,"Low")*SUMIFS(Assumptions!$H:$H,Assumptions!$A:$A,$F6,Assumptions!$B:$B,"Low"))-(SUMIFS(Raw_Data!$D:$D,Raw_Data!$A:$A,$F6)*(1+SUMIFS(Assumptions!$C:$C,Assumptions!$A:$A,$F6,Assumptions!$B:$B,"Low"))*SUMIFS(Assumptions!$E:$E,Assumptions!$A:$A,$F6,Assumptions!$B:$B,"Low")*SUMIFS(Assumptions!$J:$J,Assumptions!$A:$A,$F6,Assumptions!$B:$B,"Low")))*(1+SUMIFS(Assumptions!$D:$D,Assumptions!$A:$A,$F6,Assumptions!$B:$B,"Low"))*SUMIFS(Assumptions!$E:$E,Assumptions!$A:$A,$F6,Assumptions!$B:$B,"Low")*SUMIFS(Assumptions!$K:$K,Assumptions!$A:$A,$F6,Assumptions!$B:$B,"Low")))))</f>
        <v>43.115984638880732</v>
      </c>
      <c r="H6" s="32">
        <f>((SUMIFS(Raw_Data!$D:$D,Raw_Data!$A:$A,$F6)*(1+SUMIFS(Assumptions!$C:$C,Assumptions!$A:$A,$F6,Assumptions!$B:$B,"Base"))+(SUMIFS(Raw_Data!$D:$D,Raw_Data!$A:$A,$F6)*(1+SUMIFS(Assumptions!$C:$C,Assumptions!$A:$A,$F6,Assumptions!$B:$B,"Base"))*SUMIFS(Assumptions!$E:$E,Assumptions!$A:$A,$F6,Assumptions!$B:$B,"Base")*SUMIFS(Assumptions!$F:$F,Assumptions!$A:$A,$F6,Assumptions!$B:$B,"Base")*SUMIFS(Assumptions!$H:$H,Assumptions!$A:$A,$F6,Assumptions!$B:$B,"Base"))-(SUMIFS(Raw_Data!$D:$D,Raw_Data!$A:$A,$F6)*(1+SUMIFS(Assumptions!$C:$C,Assumptions!$A:$A,$F6,Assumptions!$B:$B,"Base"))*SUMIFS(Assumptions!$E:$E,Assumptions!$A:$A,$F6,Assumptions!$B:$B,"Base")*SUMIFS(Assumptions!$J:$J,Assumptions!$A:$A,$F6,Assumptions!$B:$B,"Base")))*(1+SUMIFS(Assumptions!$D:$D,Assumptions!$A:$A,$F6,Assumptions!$B:$B,"Base"))+(((SUMIFS(Raw_Data!$D:$D,Raw_Data!$A:$A,$F6)*(1+SUMIFS(Assumptions!$C:$C,Assumptions!$A:$A,$F6,Assumptions!$B:$B,"Base"))+(SUMIFS(Raw_Data!$D:$D,Raw_Data!$A:$A,$F6)*(1+SUMIFS(Assumptions!$C:$C,Assumptions!$A:$A,$F6,Assumptions!$B:$B,"Base"))*SUMIFS(Assumptions!$E:$E,Assumptions!$A:$A,$F6,Assumptions!$B:$B,"Base")*SUMIFS(Assumptions!$F:$F,Assumptions!$A:$A,$F6,Assumptions!$B:$B,"Base")*SUMIFS(Assumptions!$H:$H,Assumptions!$A:$A,$F6,Assumptions!$B:$B,"Base"))-(SUMIFS(Raw_Data!$D:$D,Raw_Data!$A:$A,$F6)*(1+SUMIFS(Assumptions!$C:$C,Assumptions!$A:$A,$F6,Assumptions!$B:$B,"Base"))*SUMIFS(Assumptions!$E:$E,Assumptions!$A:$A,$F6,Assumptions!$B:$B,"Base")*SUMIFS(Assumptions!$J:$J,Assumptions!$A:$A,$F6,Assumptions!$B:$B,"Base")))*(1+SUMIFS(Assumptions!$D:$D,Assumptions!$A:$A,$F6,Assumptions!$B:$B,"Base"))*SUMIFS(Assumptions!$E:$E,Assumptions!$A:$A,$F6,Assumptions!$B:$B,"Base")*SUMIFS(Assumptions!$G:$G,Assumptions!$A:$A,$F6,Assumptions!$B:$B,"Base")*SUMIFS(Assumptions!$I:$I,Assumptions!$A:$A,$F6,Assumptions!$B:$B,"Base"))-(((SUMIFS(Raw_Data!$D:$D,Raw_Data!$A:$A,$F6)*(1+SUMIFS(Assumptions!$C:$C,Assumptions!$A:$A,$F6,Assumptions!$B:$B,"Base"))+(SUMIFS(Raw_Data!$D:$D,Raw_Data!$A:$A,$F6)*(1+SUMIFS(Assumptions!$C:$C,Assumptions!$A:$A,$F6,Assumptions!$B:$B,"Base"))*SUMIFS(Assumptions!$E:$E,Assumptions!$A:$A,$F6,Assumptions!$B:$B,"Base")*SUMIFS(Assumptions!$F:$F,Assumptions!$A:$A,$F6,Assumptions!$B:$B,"Base")*SUMIFS(Assumptions!$H:$H,Assumptions!$A:$A,$F6,Assumptions!$B:$B,"Base"))-(SUMIFS(Raw_Data!$D:$D,Raw_Data!$A:$A,$F6)*(1+SUMIFS(Assumptions!$C:$C,Assumptions!$A:$A,$F6,Assumptions!$B:$B,"Base"))*SUMIFS(Assumptions!$E:$E,Assumptions!$A:$A,$F6,Assumptions!$B:$B,"Base")*SUMIFS(Assumptions!$J:$J,Assumptions!$A:$A,$F6,Assumptions!$B:$B,"Base")))*(1+SUMIFS(Assumptions!$D:$D,Assumptions!$A:$A,$F6,Assumptions!$B:$B,"Base"))*SUMIFS(Assumptions!$E:$E,Assumptions!$A:$A,$F6,Assumptions!$B:$B,"Base")*SUMIFS(Assumptions!$K:$K,Assumptions!$A:$A,$F6,Assumptions!$B:$B,"Base")))))</f>
        <v>45.246313167071712</v>
      </c>
      <c r="I6" s="32">
        <f>((SUMIFS(Raw_Data!$D:$D,Raw_Data!$A:$A,$F6)*(1+SUMIFS(Assumptions!$C:$C,Assumptions!$A:$A,$F6,Assumptions!$B:$B,"High"))+(SUMIFS(Raw_Data!$D:$D,Raw_Data!$A:$A,$F6)*(1+SUMIFS(Assumptions!$C:$C,Assumptions!$A:$A,$F6,Assumptions!$B:$B,"High"))*SUMIFS(Assumptions!$E:$E,Assumptions!$A:$A,$F6,Assumptions!$B:$B,"High")*SUMIFS(Assumptions!$F:$F,Assumptions!$A:$A,$F6,Assumptions!$B:$B,"High")*SUMIFS(Assumptions!$H:$H,Assumptions!$A:$A,$F6,Assumptions!$B:$B,"High"))-(SUMIFS(Raw_Data!$D:$D,Raw_Data!$A:$A,$F6)*(1+SUMIFS(Assumptions!$C:$C,Assumptions!$A:$A,$F6,Assumptions!$B:$B,"High"))*SUMIFS(Assumptions!$E:$E,Assumptions!$A:$A,$F6,Assumptions!$B:$B,"High")*SUMIFS(Assumptions!$J:$J,Assumptions!$A:$A,$F6,Assumptions!$B:$B,"High")))*(1+SUMIFS(Assumptions!$D:$D,Assumptions!$A:$A,$F6,Assumptions!$B:$B,"High"))+(((SUMIFS(Raw_Data!$D:$D,Raw_Data!$A:$A,$F6)*(1+SUMIFS(Assumptions!$C:$C,Assumptions!$A:$A,$F6,Assumptions!$B:$B,"High"))+(SUMIFS(Raw_Data!$D:$D,Raw_Data!$A:$A,$F6)*(1+SUMIFS(Assumptions!$C:$C,Assumptions!$A:$A,$F6,Assumptions!$B:$B,"High"))*SUMIFS(Assumptions!$E:$E,Assumptions!$A:$A,$F6,Assumptions!$B:$B,"High")*SUMIFS(Assumptions!$F:$F,Assumptions!$A:$A,$F6,Assumptions!$B:$B,"High")*SUMIFS(Assumptions!$H:$H,Assumptions!$A:$A,$F6,Assumptions!$B:$B,"High"))-(SUMIFS(Raw_Data!$D:$D,Raw_Data!$A:$A,$F6)*(1+SUMIFS(Assumptions!$C:$C,Assumptions!$A:$A,$F6,Assumptions!$B:$B,"High"))*SUMIFS(Assumptions!$E:$E,Assumptions!$A:$A,$F6,Assumptions!$B:$B,"High")*SUMIFS(Assumptions!$J:$J,Assumptions!$A:$A,$F6,Assumptions!$B:$B,"High")))*(1+SUMIFS(Assumptions!$D:$D,Assumptions!$A:$A,$F6,Assumptions!$B:$B,"High"))*SUMIFS(Assumptions!$E:$E,Assumptions!$A:$A,$F6,Assumptions!$B:$B,"High")*SUMIFS(Assumptions!$G:$G,Assumptions!$A:$A,$F6,Assumptions!$B:$B,"High")*SUMIFS(Assumptions!$I:$I,Assumptions!$A:$A,$F6,Assumptions!$B:$B,"High"))-(((SUMIFS(Raw_Data!$D:$D,Raw_Data!$A:$A,$F6)*(1+SUMIFS(Assumptions!$C:$C,Assumptions!$A:$A,$F6,Assumptions!$B:$B,"High"))+(SUMIFS(Raw_Data!$D:$D,Raw_Data!$A:$A,$F6)*(1+SUMIFS(Assumptions!$C:$C,Assumptions!$A:$A,$F6,Assumptions!$B:$B,"High"))*SUMIFS(Assumptions!$E:$E,Assumptions!$A:$A,$F6,Assumptions!$B:$B,"High")*SUMIFS(Assumptions!$F:$F,Assumptions!$A:$A,$F6,Assumptions!$B:$B,"High")*SUMIFS(Assumptions!$H:$H,Assumptions!$A:$A,$F6,Assumptions!$B:$B,"High"))-(SUMIFS(Raw_Data!$D:$D,Raw_Data!$A:$A,$F6)*(1+SUMIFS(Assumptions!$C:$C,Assumptions!$A:$A,$F6,Assumptions!$B:$B,"High"))*SUMIFS(Assumptions!$E:$E,Assumptions!$A:$A,$F6,Assumptions!$B:$B,"High")*SUMIFS(Assumptions!$J:$J,Assumptions!$A:$A,$F6,Assumptions!$B:$B,"High")))*(1+SUMIFS(Assumptions!$D:$D,Assumptions!$A:$A,$F6,Assumptions!$B:$B,"High"))*SUMIFS(Assumptions!$E:$E,Assumptions!$A:$A,$F6,Assumptions!$B:$B,"High")*SUMIFS(Assumptions!$K:$K,Assumptions!$A:$A,$F6,Assumptions!$B:$B,"High")))))</f>
        <v>47.862997798573396</v>
      </c>
      <c r="K6" s="31" t="s">
        <v>13</v>
      </c>
      <c r="L6" s="32">
        <f>Scenario_Model!R6</f>
        <v>0.59422589049320651</v>
      </c>
      <c r="M6" s="32">
        <f>Scenario_Model!T6</f>
        <v>0.16132829606150403</v>
      </c>
      <c r="O6" s="31" t="s">
        <v>13</v>
      </c>
      <c r="P6" s="33">
        <f>Revenue_Mix!B6</f>
        <v>2.3749835070589798E-2</v>
      </c>
      <c r="Q6" s="33">
        <f>Revenue_Mix!F6</f>
        <v>4.4408651882901669E-2</v>
      </c>
    </row>
    <row r="7" spans="1:17" ht="19.5" customHeight="1" x14ac:dyDescent="0.35">
      <c r="A7" s="31" t="s">
        <v>18</v>
      </c>
      <c r="B7" s="32">
        <f>Scenario_Model!B7</f>
        <v>23.768999999999998</v>
      </c>
      <c r="C7" s="32">
        <f>Scenario_Model!U7</f>
        <v>28.740835046882879</v>
      </c>
      <c r="D7" s="33">
        <f>Revenue_Mix!F7</f>
        <v>1.5546656203364035E-2</v>
      </c>
      <c r="F7" s="31" t="s">
        <v>18</v>
      </c>
      <c r="G7" s="32">
        <f>((SUMIFS(Raw_Data!$D:$D,Raw_Data!$A:$A,$F7)*(1+SUMIFS(Assumptions!$C:$C,Assumptions!$A:$A,$F7,Assumptions!$B:$B,"Low"))+(SUMIFS(Raw_Data!$D:$D,Raw_Data!$A:$A,$F7)*(1+SUMIFS(Assumptions!$C:$C,Assumptions!$A:$A,$F7,Assumptions!$B:$B,"Low"))*SUMIFS(Assumptions!$E:$E,Assumptions!$A:$A,$F7,Assumptions!$B:$B,"Low")*SUMIFS(Assumptions!$F:$F,Assumptions!$A:$A,$F7,Assumptions!$B:$B,"Low")*SUMIFS(Assumptions!$H:$H,Assumptions!$A:$A,$F7,Assumptions!$B:$B,"Low"))-(SUMIFS(Raw_Data!$D:$D,Raw_Data!$A:$A,$F7)*(1+SUMIFS(Assumptions!$C:$C,Assumptions!$A:$A,$F7,Assumptions!$B:$B,"Low"))*SUMIFS(Assumptions!$E:$E,Assumptions!$A:$A,$F7,Assumptions!$B:$B,"Low")*SUMIFS(Assumptions!$J:$J,Assumptions!$A:$A,$F7,Assumptions!$B:$B,"Low")))*(1+SUMIFS(Assumptions!$D:$D,Assumptions!$A:$A,$F7,Assumptions!$B:$B,"Low"))+(((SUMIFS(Raw_Data!$D:$D,Raw_Data!$A:$A,$F7)*(1+SUMIFS(Assumptions!$C:$C,Assumptions!$A:$A,$F7,Assumptions!$B:$B,"Low"))+(SUMIFS(Raw_Data!$D:$D,Raw_Data!$A:$A,$F7)*(1+SUMIFS(Assumptions!$C:$C,Assumptions!$A:$A,$F7,Assumptions!$B:$B,"Low"))*SUMIFS(Assumptions!$E:$E,Assumptions!$A:$A,$F7,Assumptions!$B:$B,"Low")*SUMIFS(Assumptions!$F:$F,Assumptions!$A:$A,$F7,Assumptions!$B:$B,"Low")*SUMIFS(Assumptions!$H:$H,Assumptions!$A:$A,$F7,Assumptions!$B:$B,"Low"))-(SUMIFS(Raw_Data!$D:$D,Raw_Data!$A:$A,$F7)*(1+SUMIFS(Assumptions!$C:$C,Assumptions!$A:$A,$F7,Assumptions!$B:$B,"Low"))*SUMIFS(Assumptions!$E:$E,Assumptions!$A:$A,$F7,Assumptions!$B:$B,"Low")*SUMIFS(Assumptions!$J:$J,Assumptions!$A:$A,$F7,Assumptions!$B:$B,"Low")))*(1+SUMIFS(Assumptions!$D:$D,Assumptions!$A:$A,$F7,Assumptions!$B:$B,"Low"))*SUMIFS(Assumptions!$E:$E,Assumptions!$A:$A,$F7,Assumptions!$B:$B,"Low")*SUMIFS(Assumptions!$G:$G,Assumptions!$A:$A,$F7,Assumptions!$B:$B,"Low")*SUMIFS(Assumptions!$I:$I,Assumptions!$A:$A,$F7,Assumptions!$B:$B,"Low"))-(((SUMIFS(Raw_Data!$D:$D,Raw_Data!$A:$A,$F7)*(1+SUMIFS(Assumptions!$C:$C,Assumptions!$A:$A,$F7,Assumptions!$B:$B,"Low"))+(SUMIFS(Raw_Data!$D:$D,Raw_Data!$A:$A,$F7)*(1+SUMIFS(Assumptions!$C:$C,Assumptions!$A:$A,$F7,Assumptions!$B:$B,"Low"))*SUMIFS(Assumptions!$E:$E,Assumptions!$A:$A,$F7,Assumptions!$B:$B,"Low")*SUMIFS(Assumptions!$F:$F,Assumptions!$A:$A,$F7,Assumptions!$B:$B,"Low")*SUMIFS(Assumptions!$H:$H,Assumptions!$A:$A,$F7,Assumptions!$B:$B,"Low"))-(SUMIFS(Raw_Data!$D:$D,Raw_Data!$A:$A,$F7)*(1+SUMIFS(Assumptions!$C:$C,Assumptions!$A:$A,$F7,Assumptions!$B:$B,"Low"))*SUMIFS(Assumptions!$E:$E,Assumptions!$A:$A,$F7,Assumptions!$B:$B,"Low")*SUMIFS(Assumptions!$J:$J,Assumptions!$A:$A,$F7,Assumptions!$B:$B,"Low")))*(1+SUMIFS(Assumptions!$D:$D,Assumptions!$A:$A,$F7,Assumptions!$B:$B,"Low"))*SUMIFS(Assumptions!$E:$E,Assumptions!$A:$A,$F7,Assumptions!$B:$B,"Low")*SUMIFS(Assumptions!$K:$K,Assumptions!$A:$A,$F7,Assumptions!$B:$B,"Low")))))</f>
        <v>27.497671195337059</v>
      </c>
      <c r="H7" s="32">
        <f>((SUMIFS(Raw_Data!$D:$D,Raw_Data!$A:$A,$F7)*(1+SUMIFS(Assumptions!$C:$C,Assumptions!$A:$A,$F7,Assumptions!$B:$B,"Base"))+(SUMIFS(Raw_Data!$D:$D,Raw_Data!$A:$A,$F7)*(1+SUMIFS(Assumptions!$C:$C,Assumptions!$A:$A,$F7,Assumptions!$B:$B,"Base"))*SUMIFS(Assumptions!$E:$E,Assumptions!$A:$A,$F7,Assumptions!$B:$B,"Base")*SUMIFS(Assumptions!$F:$F,Assumptions!$A:$A,$F7,Assumptions!$B:$B,"Base")*SUMIFS(Assumptions!$H:$H,Assumptions!$A:$A,$F7,Assumptions!$B:$B,"Base"))-(SUMIFS(Raw_Data!$D:$D,Raw_Data!$A:$A,$F7)*(1+SUMIFS(Assumptions!$C:$C,Assumptions!$A:$A,$F7,Assumptions!$B:$B,"Base"))*SUMIFS(Assumptions!$E:$E,Assumptions!$A:$A,$F7,Assumptions!$B:$B,"Base")*SUMIFS(Assumptions!$J:$J,Assumptions!$A:$A,$F7,Assumptions!$B:$B,"Base")))*(1+SUMIFS(Assumptions!$D:$D,Assumptions!$A:$A,$F7,Assumptions!$B:$B,"Base"))+(((SUMIFS(Raw_Data!$D:$D,Raw_Data!$A:$A,$F7)*(1+SUMIFS(Assumptions!$C:$C,Assumptions!$A:$A,$F7,Assumptions!$B:$B,"Base"))+(SUMIFS(Raw_Data!$D:$D,Raw_Data!$A:$A,$F7)*(1+SUMIFS(Assumptions!$C:$C,Assumptions!$A:$A,$F7,Assumptions!$B:$B,"Base"))*SUMIFS(Assumptions!$E:$E,Assumptions!$A:$A,$F7,Assumptions!$B:$B,"Base")*SUMIFS(Assumptions!$F:$F,Assumptions!$A:$A,$F7,Assumptions!$B:$B,"Base")*SUMIFS(Assumptions!$H:$H,Assumptions!$A:$A,$F7,Assumptions!$B:$B,"Base"))-(SUMIFS(Raw_Data!$D:$D,Raw_Data!$A:$A,$F7)*(1+SUMIFS(Assumptions!$C:$C,Assumptions!$A:$A,$F7,Assumptions!$B:$B,"Base"))*SUMIFS(Assumptions!$E:$E,Assumptions!$A:$A,$F7,Assumptions!$B:$B,"Base")*SUMIFS(Assumptions!$J:$J,Assumptions!$A:$A,$F7,Assumptions!$B:$B,"Base")))*(1+SUMIFS(Assumptions!$D:$D,Assumptions!$A:$A,$F7,Assumptions!$B:$B,"Base"))*SUMIFS(Assumptions!$E:$E,Assumptions!$A:$A,$F7,Assumptions!$B:$B,"Base")*SUMIFS(Assumptions!$G:$G,Assumptions!$A:$A,$F7,Assumptions!$B:$B,"Base")*SUMIFS(Assumptions!$I:$I,Assumptions!$A:$A,$F7,Assumptions!$B:$B,"Base"))-(((SUMIFS(Raw_Data!$D:$D,Raw_Data!$A:$A,$F7)*(1+SUMIFS(Assumptions!$C:$C,Assumptions!$A:$A,$F7,Assumptions!$B:$B,"Base"))+(SUMIFS(Raw_Data!$D:$D,Raw_Data!$A:$A,$F7)*(1+SUMIFS(Assumptions!$C:$C,Assumptions!$A:$A,$F7,Assumptions!$B:$B,"Base"))*SUMIFS(Assumptions!$E:$E,Assumptions!$A:$A,$F7,Assumptions!$B:$B,"Base")*SUMIFS(Assumptions!$F:$F,Assumptions!$A:$A,$F7,Assumptions!$B:$B,"Base")*SUMIFS(Assumptions!$H:$H,Assumptions!$A:$A,$F7,Assumptions!$B:$B,"Base"))-(SUMIFS(Raw_Data!$D:$D,Raw_Data!$A:$A,$F7)*(1+SUMIFS(Assumptions!$C:$C,Assumptions!$A:$A,$F7,Assumptions!$B:$B,"Base"))*SUMIFS(Assumptions!$E:$E,Assumptions!$A:$A,$F7,Assumptions!$B:$B,"Base")*SUMIFS(Assumptions!$J:$J,Assumptions!$A:$A,$F7,Assumptions!$B:$B,"Base")))*(1+SUMIFS(Assumptions!$D:$D,Assumptions!$A:$A,$F7,Assumptions!$B:$B,"Base"))*SUMIFS(Assumptions!$E:$E,Assumptions!$A:$A,$F7,Assumptions!$B:$B,"Base")*SUMIFS(Assumptions!$K:$K,Assumptions!$A:$A,$F7,Assumptions!$B:$B,"Base")))))</f>
        <v>28.740835046882875</v>
      </c>
      <c r="I7" s="32">
        <f>((SUMIFS(Raw_Data!$D:$D,Raw_Data!$A:$A,$F7)*(1+SUMIFS(Assumptions!$C:$C,Assumptions!$A:$A,$F7,Assumptions!$B:$B,"High"))+(SUMIFS(Raw_Data!$D:$D,Raw_Data!$A:$A,$F7)*(1+SUMIFS(Assumptions!$C:$C,Assumptions!$A:$A,$F7,Assumptions!$B:$B,"High"))*SUMIFS(Assumptions!$E:$E,Assumptions!$A:$A,$F7,Assumptions!$B:$B,"High")*SUMIFS(Assumptions!$F:$F,Assumptions!$A:$A,$F7,Assumptions!$B:$B,"High")*SUMIFS(Assumptions!$H:$H,Assumptions!$A:$A,$F7,Assumptions!$B:$B,"High"))-(SUMIFS(Raw_Data!$D:$D,Raw_Data!$A:$A,$F7)*(1+SUMIFS(Assumptions!$C:$C,Assumptions!$A:$A,$F7,Assumptions!$B:$B,"High"))*SUMIFS(Assumptions!$E:$E,Assumptions!$A:$A,$F7,Assumptions!$B:$B,"High")*SUMIFS(Assumptions!$J:$J,Assumptions!$A:$A,$F7,Assumptions!$B:$B,"High")))*(1+SUMIFS(Assumptions!$D:$D,Assumptions!$A:$A,$F7,Assumptions!$B:$B,"High"))+(((SUMIFS(Raw_Data!$D:$D,Raw_Data!$A:$A,$F7)*(1+SUMIFS(Assumptions!$C:$C,Assumptions!$A:$A,$F7,Assumptions!$B:$B,"High"))+(SUMIFS(Raw_Data!$D:$D,Raw_Data!$A:$A,$F7)*(1+SUMIFS(Assumptions!$C:$C,Assumptions!$A:$A,$F7,Assumptions!$B:$B,"High"))*SUMIFS(Assumptions!$E:$E,Assumptions!$A:$A,$F7,Assumptions!$B:$B,"High")*SUMIFS(Assumptions!$F:$F,Assumptions!$A:$A,$F7,Assumptions!$B:$B,"High")*SUMIFS(Assumptions!$H:$H,Assumptions!$A:$A,$F7,Assumptions!$B:$B,"High"))-(SUMIFS(Raw_Data!$D:$D,Raw_Data!$A:$A,$F7)*(1+SUMIFS(Assumptions!$C:$C,Assumptions!$A:$A,$F7,Assumptions!$B:$B,"High"))*SUMIFS(Assumptions!$E:$E,Assumptions!$A:$A,$F7,Assumptions!$B:$B,"High")*SUMIFS(Assumptions!$J:$J,Assumptions!$A:$A,$F7,Assumptions!$B:$B,"High")))*(1+SUMIFS(Assumptions!$D:$D,Assumptions!$A:$A,$F7,Assumptions!$B:$B,"High"))*SUMIFS(Assumptions!$E:$E,Assumptions!$A:$A,$F7,Assumptions!$B:$B,"High")*SUMIFS(Assumptions!$G:$G,Assumptions!$A:$A,$F7,Assumptions!$B:$B,"High")*SUMIFS(Assumptions!$I:$I,Assumptions!$A:$A,$F7,Assumptions!$B:$B,"High"))-(((SUMIFS(Raw_Data!$D:$D,Raw_Data!$A:$A,$F7)*(1+SUMIFS(Assumptions!$C:$C,Assumptions!$A:$A,$F7,Assumptions!$B:$B,"High"))+(SUMIFS(Raw_Data!$D:$D,Raw_Data!$A:$A,$F7)*(1+SUMIFS(Assumptions!$C:$C,Assumptions!$A:$A,$F7,Assumptions!$B:$B,"High"))*SUMIFS(Assumptions!$E:$E,Assumptions!$A:$A,$F7,Assumptions!$B:$B,"High")*SUMIFS(Assumptions!$F:$F,Assumptions!$A:$A,$F7,Assumptions!$B:$B,"High")*SUMIFS(Assumptions!$H:$H,Assumptions!$A:$A,$F7,Assumptions!$B:$B,"High"))-(SUMIFS(Raw_Data!$D:$D,Raw_Data!$A:$A,$F7)*(1+SUMIFS(Assumptions!$C:$C,Assumptions!$A:$A,$F7,Assumptions!$B:$B,"High"))*SUMIFS(Assumptions!$E:$E,Assumptions!$A:$A,$F7,Assumptions!$B:$B,"High")*SUMIFS(Assumptions!$J:$J,Assumptions!$A:$A,$F7,Assumptions!$B:$B,"High")))*(1+SUMIFS(Assumptions!$D:$D,Assumptions!$A:$A,$F7,Assumptions!$B:$B,"High"))*SUMIFS(Assumptions!$E:$E,Assumptions!$A:$A,$F7,Assumptions!$B:$B,"High")*SUMIFS(Assumptions!$K:$K,Assumptions!$A:$A,$F7,Assumptions!$B:$B,"High")))))</f>
        <v>30.219564770477181</v>
      </c>
      <c r="K7" s="31" t="s">
        <v>18</v>
      </c>
      <c r="L7" s="32">
        <f>Scenario_Model!R7</f>
        <v>0.28282318668469808</v>
      </c>
      <c r="M7" s="32">
        <f>Scenario_Model!T7</f>
        <v>0.10998679482182704</v>
      </c>
      <c r="O7" s="31" t="s">
        <v>18</v>
      </c>
      <c r="P7" s="33">
        <f>Revenue_Mix!B7</f>
        <v>0</v>
      </c>
      <c r="Q7" s="33">
        <f>Revenue_Mix!F7</f>
        <v>1.5546656203364035E-2</v>
      </c>
    </row>
    <row r="8" spans="1:17" ht="19.5" customHeight="1" x14ac:dyDescent="0.35">
      <c r="A8" s="31" t="s">
        <v>23</v>
      </c>
      <c r="B8" s="32">
        <f>Scenario_Model!B8</f>
        <v>10.984</v>
      </c>
      <c r="C8" s="32">
        <f>Scenario_Model!U8</f>
        <v>16.088343874674948</v>
      </c>
      <c r="D8" s="33">
        <f>Revenue_Mix!F8</f>
        <v>3.9375135940291781E-2</v>
      </c>
      <c r="F8" s="31" t="s">
        <v>23</v>
      </c>
      <c r="G8" s="32">
        <f>((SUMIFS(Raw_Data!$D:$D,Raw_Data!$A:$A,$F8)*(1+SUMIFS(Assumptions!$C:$C,Assumptions!$A:$A,$F8,Assumptions!$B:$B,"Low"))+(SUMIFS(Raw_Data!$D:$D,Raw_Data!$A:$A,$F8)*(1+SUMIFS(Assumptions!$C:$C,Assumptions!$A:$A,$F8,Assumptions!$B:$B,"Low"))*SUMIFS(Assumptions!$E:$E,Assumptions!$A:$A,$F8,Assumptions!$B:$B,"Low")*SUMIFS(Assumptions!$F:$F,Assumptions!$A:$A,$F8,Assumptions!$B:$B,"Low")*SUMIFS(Assumptions!$H:$H,Assumptions!$A:$A,$F8,Assumptions!$B:$B,"Low"))-(SUMIFS(Raw_Data!$D:$D,Raw_Data!$A:$A,$F8)*(1+SUMIFS(Assumptions!$C:$C,Assumptions!$A:$A,$F8,Assumptions!$B:$B,"Low"))*SUMIFS(Assumptions!$E:$E,Assumptions!$A:$A,$F8,Assumptions!$B:$B,"Low")*SUMIFS(Assumptions!$J:$J,Assumptions!$A:$A,$F8,Assumptions!$B:$B,"Low")))*(1+SUMIFS(Assumptions!$D:$D,Assumptions!$A:$A,$F8,Assumptions!$B:$B,"Low"))+(((SUMIFS(Raw_Data!$D:$D,Raw_Data!$A:$A,$F8)*(1+SUMIFS(Assumptions!$C:$C,Assumptions!$A:$A,$F8,Assumptions!$B:$B,"Low"))+(SUMIFS(Raw_Data!$D:$D,Raw_Data!$A:$A,$F8)*(1+SUMIFS(Assumptions!$C:$C,Assumptions!$A:$A,$F8,Assumptions!$B:$B,"Low"))*SUMIFS(Assumptions!$E:$E,Assumptions!$A:$A,$F8,Assumptions!$B:$B,"Low")*SUMIFS(Assumptions!$F:$F,Assumptions!$A:$A,$F8,Assumptions!$B:$B,"Low")*SUMIFS(Assumptions!$H:$H,Assumptions!$A:$A,$F8,Assumptions!$B:$B,"Low"))-(SUMIFS(Raw_Data!$D:$D,Raw_Data!$A:$A,$F8)*(1+SUMIFS(Assumptions!$C:$C,Assumptions!$A:$A,$F8,Assumptions!$B:$B,"Low"))*SUMIFS(Assumptions!$E:$E,Assumptions!$A:$A,$F8,Assumptions!$B:$B,"Low")*SUMIFS(Assumptions!$J:$J,Assumptions!$A:$A,$F8,Assumptions!$B:$B,"Low")))*(1+SUMIFS(Assumptions!$D:$D,Assumptions!$A:$A,$F8,Assumptions!$B:$B,"Low"))*SUMIFS(Assumptions!$E:$E,Assumptions!$A:$A,$F8,Assumptions!$B:$B,"Low")*SUMIFS(Assumptions!$G:$G,Assumptions!$A:$A,$F8,Assumptions!$B:$B,"Low")*SUMIFS(Assumptions!$I:$I,Assumptions!$A:$A,$F8,Assumptions!$B:$B,"Low"))-(((SUMIFS(Raw_Data!$D:$D,Raw_Data!$A:$A,$F8)*(1+SUMIFS(Assumptions!$C:$C,Assumptions!$A:$A,$F8,Assumptions!$B:$B,"Low"))+(SUMIFS(Raw_Data!$D:$D,Raw_Data!$A:$A,$F8)*(1+SUMIFS(Assumptions!$C:$C,Assumptions!$A:$A,$F8,Assumptions!$B:$B,"Low"))*SUMIFS(Assumptions!$E:$E,Assumptions!$A:$A,$F8,Assumptions!$B:$B,"Low")*SUMIFS(Assumptions!$F:$F,Assumptions!$A:$A,$F8,Assumptions!$B:$B,"Low")*SUMIFS(Assumptions!$H:$H,Assumptions!$A:$A,$F8,Assumptions!$B:$B,"Low"))-(SUMIFS(Raw_Data!$D:$D,Raw_Data!$A:$A,$F8)*(1+SUMIFS(Assumptions!$C:$C,Assumptions!$A:$A,$F8,Assumptions!$B:$B,"Low"))*SUMIFS(Assumptions!$E:$E,Assumptions!$A:$A,$F8,Assumptions!$B:$B,"Low")*SUMIFS(Assumptions!$J:$J,Assumptions!$A:$A,$F8,Assumptions!$B:$B,"Low")))*(1+SUMIFS(Assumptions!$D:$D,Assumptions!$A:$A,$F8,Assumptions!$B:$B,"Low"))*SUMIFS(Assumptions!$E:$E,Assumptions!$A:$A,$F8,Assumptions!$B:$B,"Low")*SUMIFS(Assumptions!$K:$K,Assumptions!$A:$A,$F8,Assumptions!$B:$B,"Low")))))</f>
        <v>15.095845343967582</v>
      </c>
      <c r="H8" s="32">
        <f>((SUMIFS(Raw_Data!$D:$D,Raw_Data!$A:$A,$F8)*(1+SUMIFS(Assumptions!$C:$C,Assumptions!$A:$A,$F8,Assumptions!$B:$B,"Base"))+(SUMIFS(Raw_Data!$D:$D,Raw_Data!$A:$A,$F8)*(1+SUMIFS(Assumptions!$C:$C,Assumptions!$A:$A,$F8,Assumptions!$B:$B,"Base"))*SUMIFS(Assumptions!$E:$E,Assumptions!$A:$A,$F8,Assumptions!$B:$B,"Base")*SUMIFS(Assumptions!$F:$F,Assumptions!$A:$A,$F8,Assumptions!$B:$B,"Base")*SUMIFS(Assumptions!$H:$H,Assumptions!$A:$A,$F8,Assumptions!$B:$B,"Base"))-(SUMIFS(Raw_Data!$D:$D,Raw_Data!$A:$A,$F8)*(1+SUMIFS(Assumptions!$C:$C,Assumptions!$A:$A,$F8,Assumptions!$B:$B,"Base"))*SUMIFS(Assumptions!$E:$E,Assumptions!$A:$A,$F8,Assumptions!$B:$B,"Base")*SUMIFS(Assumptions!$J:$J,Assumptions!$A:$A,$F8,Assumptions!$B:$B,"Base")))*(1+SUMIFS(Assumptions!$D:$D,Assumptions!$A:$A,$F8,Assumptions!$B:$B,"Base"))+(((SUMIFS(Raw_Data!$D:$D,Raw_Data!$A:$A,$F8)*(1+SUMIFS(Assumptions!$C:$C,Assumptions!$A:$A,$F8,Assumptions!$B:$B,"Base"))+(SUMIFS(Raw_Data!$D:$D,Raw_Data!$A:$A,$F8)*(1+SUMIFS(Assumptions!$C:$C,Assumptions!$A:$A,$F8,Assumptions!$B:$B,"Base"))*SUMIFS(Assumptions!$E:$E,Assumptions!$A:$A,$F8,Assumptions!$B:$B,"Base")*SUMIFS(Assumptions!$F:$F,Assumptions!$A:$A,$F8,Assumptions!$B:$B,"Base")*SUMIFS(Assumptions!$H:$H,Assumptions!$A:$A,$F8,Assumptions!$B:$B,"Base"))-(SUMIFS(Raw_Data!$D:$D,Raw_Data!$A:$A,$F8)*(1+SUMIFS(Assumptions!$C:$C,Assumptions!$A:$A,$F8,Assumptions!$B:$B,"Base"))*SUMIFS(Assumptions!$E:$E,Assumptions!$A:$A,$F8,Assumptions!$B:$B,"Base")*SUMIFS(Assumptions!$J:$J,Assumptions!$A:$A,$F8,Assumptions!$B:$B,"Base")))*(1+SUMIFS(Assumptions!$D:$D,Assumptions!$A:$A,$F8,Assumptions!$B:$B,"Base"))*SUMIFS(Assumptions!$E:$E,Assumptions!$A:$A,$F8,Assumptions!$B:$B,"Base")*SUMIFS(Assumptions!$G:$G,Assumptions!$A:$A,$F8,Assumptions!$B:$B,"Base")*SUMIFS(Assumptions!$I:$I,Assumptions!$A:$A,$F8,Assumptions!$B:$B,"Base"))-(((SUMIFS(Raw_Data!$D:$D,Raw_Data!$A:$A,$F8)*(1+SUMIFS(Assumptions!$C:$C,Assumptions!$A:$A,$F8,Assumptions!$B:$B,"Base"))+(SUMIFS(Raw_Data!$D:$D,Raw_Data!$A:$A,$F8)*(1+SUMIFS(Assumptions!$C:$C,Assumptions!$A:$A,$F8,Assumptions!$B:$B,"Base"))*SUMIFS(Assumptions!$E:$E,Assumptions!$A:$A,$F8,Assumptions!$B:$B,"Base")*SUMIFS(Assumptions!$F:$F,Assumptions!$A:$A,$F8,Assumptions!$B:$B,"Base")*SUMIFS(Assumptions!$H:$H,Assumptions!$A:$A,$F8,Assumptions!$B:$B,"Base"))-(SUMIFS(Raw_Data!$D:$D,Raw_Data!$A:$A,$F8)*(1+SUMIFS(Assumptions!$C:$C,Assumptions!$A:$A,$F8,Assumptions!$B:$B,"Base"))*SUMIFS(Assumptions!$E:$E,Assumptions!$A:$A,$F8,Assumptions!$B:$B,"Base")*SUMIFS(Assumptions!$J:$J,Assumptions!$A:$A,$F8,Assumptions!$B:$B,"Base")))*(1+SUMIFS(Assumptions!$D:$D,Assumptions!$A:$A,$F8,Assumptions!$B:$B,"Base"))*SUMIFS(Assumptions!$E:$E,Assumptions!$A:$A,$F8,Assumptions!$B:$B,"Base")*SUMIFS(Assumptions!$K:$K,Assumptions!$A:$A,$F8,Assumptions!$B:$B,"Base")))))</f>
        <v>16.088343874674948</v>
      </c>
      <c r="I8" s="32">
        <f>((SUMIFS(Raw_Data!$D:$D,Raw_Data!$A:$A,$F8)*(1+SUMIFS(Assumptions!$C:$C,Assumptions!$A:$A,$F8,Assumptions!$B:$B,"High"))+(SUMIFS(Raw_Data!$D:$D,Raw_Data!$A:$A,$F8)*(1+SUMIFS(Assumptions!$C:$C,Assumptions!$A:$A,$F8,Assumptions!$B:$B,"High"))*SUMIFS(Assumptions!$E:$E,Assumptions!$A:$A,$F8,Assumptions!$B:$B,"High")*SUMIFS(Assumptions!$F:$F,Assumptions!$A:$A,$F8,Assumptions!$B:$B,"High")*SUMIFS(Assumptions!$H:$H,Assumptions!$A:$A,$F8,Assumptions!$B:$B,"High"))-(SUMIFS(Raw_Data!$D:$D,Raw_Data!$A:$A,$F8)*(1+SUMIFS(Assumptions!$C:$C,Assumptions!$A:$A,$F8,Assumptions!$B:$B,"High"))*SUMIFS(Assumptions!$E:$E,Assumptions!$A:$A,$F8,Assumptions!$B:$B,"High")*SUMIFS(Assumptions!$J:$J,Assumptions!$A:$A,$F8,Assumptions!$B:$B,"High")))*(1+SUMIFS(Assumptions!$D:$D,Assumptions!$A:$A,$F8,Assumptions!$B:$B,"High"))+(((SUMIFS(Raw_Data!$D:$D,Raw_Data!$A:$A,$F8)*(1+SUMIFS(Assumptions!$C:$C,Assumptions!$A:$A,$F8,Assumptions!$B:$B,"High"))+(SUMIFS(Raw_Data!$D:$D,Raw_Data!$A:$A,$F8)*(1+SUMIFS(Assumptions!$C:$C,Assumptions!$A:$A,$F8,Assumptions!$B:$B,"High"))*SUMIFS(Assumptions!$E:$E,Assumptions!$A:$A,$F8,Assumptions!$B:$B,"High")*SUMIFS(Assumptions!$F:$F,Assumptions!$A:$A,$F8,Assumptions!$B:$B,"High")*SUMIFS(Assumptions!$H:$H,Assumptions!$A:$A,$F8,Assumptions!$B:$B,"High"))-(SUMIFS(Raw_Data!$D:$D,Raw_Data!$A:$A,$F8)*(1+SUMIFS(Assumptions!$C:$C,Assumptions!$A:$A,$F8,Assumptions!$B:$B,"High"))*SUMIFS(Assumptions!$E:$E,Assumptions!$A:$A,$F8,Assumptions!$B:$B,"High")*SUMIFS(Assumptions!$J:$J,Assumptions!$A:$A,$F8,Assumptions!$B:$B,"High")))*(1+SUMIFS(Assumptions!$D:$D,Assumptions!$A:$A,$F8,Assumptions!$B:$B,"High"))*SUMIFS(Assumptions!$E:$E,Assumptions!$A:$A,$F8,Assumptions!$B:$B,"High")*SUMIFS(Assumptions!$G:$G,Assumptions!$A:$A,$F8,Assumptions!$B:$B,"High")*SUMIFS(Assumptions!$I:$I,Assumptions!$A:$A,$F8,Assumptions!$B:$B,"High"))-(((SUMIFS(Raw_Data!$D:$D,Raw_Data!$A:$A,$F8)*(1+SUMIFS(Assumptions!$C:$C,Assumptions!$A:$A,$F8,Assumptions!$B:$B,"High"))+(SUMIFS(Raw_Data!$D:$D,Raw_Data!$A:$A,$F8)*(1+SUMIFS(Assumptions!$C:$C,Assumptions!$A:$A,$F8,Assumptions!$B:$B,"High"))*SUMIFS(Assumptions!$E:$E,Assumptions!$A:$A,$F8,Assumptions!$B:$B,"High")*SUMIFS(Assumptions!$F:$F,Assumptions!$A:$A,$F8,Assumptions!$B:$B,"High")*SUMIFS(Assumptions!$H:$H,Assumptions!$A:$A,$F8,Assumptions!$B:$B,"High"))-(SUMIFS(Raw_Data!$D:$D,Raw_Data!$A:$A,$F8)*(1+SUMIFS(Assumptions!$C:$C,Assumptions!$A:$A,$F8,Assumptions!$B:$B,"High"))*SUMIFS(Assumptions!$E:$E,Assumptions!$A:$A,$F8,Assumptions!$B:$B,"High")*SUMIFS(Assumptions!$J:$J,Assumptions!$A:$A,$F8,Assumptions!$B:$B,"High")))*(1+SUMIFS(Assumptions!$D:$D,Assumptions!$A:$A,$F8,Assumptions!$B:$B,"High"))*SUMIFS(Assumptions!$E:$E,Assumptions!$A:$A,$F8,Assumptions!$B:$B,"High")*SUMIFS(Assumptions!$K:$K,Assumptions!$A:$A,$F8,Assumptions!$B:$B,"High")))))</f>
        <v>17.264569671992852</v>
      </c>
      <c r="K8" s="31" t="s">
        <v>23</v>
      </c>
      <c r="L8" s="32">
        <f>Scenario_Model!R8</f>
        <v>0.21103955026234081</v>
      </c>
      <c r="M8" s="32">
        <f>Scenario_Model!T8</f>
        <v>3.8197203667391995E-2</v>
      </c>
      <c r="O8" s="31" t="s">
        <v>23</v>
      </c>
      <c r="P8" s="33">
        <f>Revenue_Mix!B8</f>
        <v>1.82083029861617E-2</v>
      </c>
      <c r="Q8" s="33">
        <f>Revenue_Mix!F8</f>
        <v>3.9375135940291781E-2</v>
      </c>
    </row>
    <row r="9" spans="1:17" ht="19.5" customHeight="1" x14ac:dyDescent="0.35">
      <c r="A9" s="31" t="s">
        <v>28</v>
      </c>
      <c r="B9" s="32">
        <f>Scenario_Model!B9</f>
        <v>18.831</v>
      </c>
      <c r="C9" s="32">
        <f>Scenario_Model!U9</f>
        <v>23.586562771987076</v>
      </c>
      <c r="D9" s="33">
        <f>Revenue_Mix!F9</f>
        <v>1.0954339876031415E-2</v>
      </c>
      <c r="F9" s="31" t="s">
        <v>28</v>
      </c>
      <c r="G9" s="32">
        <f>((SUMIFS(Raw_Data!$D:$D,Raw_Data!$A:$A,$F9)*(1+SUMIFS(Assumptions!$C:$C,Assumptions!$A:$A,$F9,Assumptions!$B:$B,"Low"))+(SUMIFS(Raw_Data!$D:$D,Raw_Data!$A:$A,$F9)*(1+SUMIFS(Assumptions!$C:$C,Assumptions!$A:$A,$F9,Assumptions!$B:$B,"Low"))*SUMIFS(Assumptions!$E:$E,Assumptions!$A:$A,$F9,Assumptions!$B:$B,"Low")*SUMIFS(Assumptions!$F:$F,Assumptions!$A:$A,$F9,Assumptions!$B:$B,"Low")*SUMIFS(Assumptions!$H:$H,Assumptions!$A:$A,$F9,Assumptions!$B:$B,"Low"))-(SUMIFS(Raw_Data!$D:$D,Raw_Data!$A:$A,$F9)*(1+SUMIFS(Assumptions!$C:$C,Assumptions!$A:$A,$F9,Assumptions!$B:$B,"Low"))*SUMIFS(Assumptions!$E:$E,Assumptions!$A:$A,$F9,Assumptions!$B:$B,"Low")*SUMIFS(Assumptions!$J:$J,Assumptions!$A:$A,$F9,Assumptions!$B:$B,"Low")))*(1+SUMIFS(Assumptions!$D:$D,Assumptions!$A:$A,$F9,Assumptions!$B:$B,"Low"))+(((SUMIFS(Raw_Data!$D:$D,Raw_Data!$A:$A,$F9)*(1+SUMIFS(Assumptions!$C:$C,Assumptions!$A:$A,$F9,Assumptions!$B:$B,"Low"))+(SUMIFS(Raw_Data!$D:$D,Raw_Data!$A:$A,$F9)*(1+SUMIFS(Assumptions!$C:$C,Assumptions!$A:$A,$F9,Assumptions!$B:$B,"Low"))*SUMIFS(Assumptions!$E:$E,Assumptions!$A:$A,$F9,Assumptions!$B:$B,"Low")*SUMIFS(Assumptions!$F:$F,Assumptions!$A:$A,$F9,Assumptions!$B:$B,"Low")*SUMIFS(Assumptions!$H:$H,Assumptions!$A:$A,$F9,Assumptions!$B:$B,"Low"))-(SUMIFS(Raw_Data!$D:$D,Raw_Data!$A:$A,$F9)*(1+SUMIFS(Assumptions!$C:$C,Assumptions!$A:$A,$F9,Assumptions!$B:$B,"Low"))*SUMIFS(Assumptions!$E:$E,Assumptions!$A:$A,$F9,Assumptions!$B:$B,"Low")*SUMIFS(Assumptions!$J:$J,Assumptions!$A:$A,$F9,Assumptions!$B:$B,"Low")))*(1+SUMIFS(Assumptions!$D:$D,Assumptions!$A:$A,$F9,Assumptions!$B:$B,"Low"))*SUMIFS(Assumptions!$E:$E,Assumptions!$A:$A,$F9,Assumptions!$B:$B,"Low")*SUMIFS(Assumptions!$G:$G,Assumptions!$A:$A,$F9,Assumptions!$B:$B,"Low")*SUMIFS(Assumptions!$I:$I,Assumptions!$A:$A,$F9,Assumptions!$B:$B,"Low"))-(((SUMIFS(Raw_Data!$D:$D,Raw_Data!$A:$A,$F9)*(1+SUMIFS(Assumptions!$C:$C,Assumptions!$A:$A,$F9,Assumptions!$B:$B,"Low"))+(SUMIFS(Raw_Data!$D:$D,Raw_Data!$A:$A,$F9)*(1+SUMIFS(Assumptions!$C:$C,Assumptions!$A:$A,$F9,Assumptions!$B:$B,"Low"))*SUMIFS(Assumptions!$E:$E,Assumptions!$A:$A,$F9,Assumptions!$B:$B,"Low")*SUMIFS(Assumptions!$F:$F,Assumptions!$A:$A,$F9,Assumptions!$B:$B,"Low")*SUMIFS(Assumptions!$H:$H,Assumptions!$A:$A,$F9,Assumptions!$B:$B,"Low"))-(SUMIFS(Raw_Data!$D:$D,Raw_Data!$A:$A,$F9)*(1+SUMIFS(Assumptions!$C:$C,Assumptions!$A:$A,$F9,Assumptions!$B:$B,"Low"))*SUMIFS(Assumptions!$E:$E,Assumptions!$A:$A,$F9,Assumptions!$B:$B,"Low")*SUMIFS(Assumptions!$J:$J,Assumptions!$A:$A,$F9,Assumptions!$B:$B,"Low")))*(1+SUMIFS(Assumptions!$D:$D,Assumptions!$A:$A,$F9,Assumptions!$B:$B,"Low"))*SUMIFS(Assumptions!$E:$E,Assumptions!$A:$A,$F9,Assumptions!$B:$B,"Low")*SUMIFS(Assumptions!$K:$K,Assumptions!$A:$A,$F9,Assumptions!$B:$B,"Low")))))</f>
        <v>22.606825710588588</v>
      </c>
      <c r="H9" s="32">
        <f>((SUMIFS(Raw_Data!$D:$D,Raw_Data!$A:$A,$F9)*(1+SUMIFS(Assumptions!$C:$C,Assumptions!$A:$A,$F9,Assumptions!$B:$B,"Base"))+(SUMIFS(Raw_Data!$D:$D,Raw_Data!$A:$A,$F9)*(1+SUMIFS(Assumptions!$C:$C,Assumptions!$A:$A,$F9,Assumptions!$B:$B,"Base"))*SUMIFS(Assumptions!$E:$E,Assumptions!$A:$A,$F9,Assumptions!$B:$B,"Base")*SUMIFS(Assumptions!$F:$F,Assumptions!$A:$A,$F9,Assumptions!$B:$B,"Base")*SUMIFS(Assumptions!$H:$H,Assumptions!$A:$A,$F9,Assumptions!$B:$B,"Base"))-(SUMIFS(Raw_Data!$D:$D,Raw_Data!$A:$A,$F9)*(1+SUMIFS(Assumptions!$C:$C,Assumptions!$A:$A,$F9,Assumptions!$B:$B,"Base"))*SUMIFS(Assumptions!$E:$E,Assumptions!$A:$A,$F9,Assumptions!$B:$B,"Base")*SUMIFS(Assumptions!$J:$J,Assumptions!$A:$A,$F9,Assumptions!$B:$B,"Base")))*(1+SUMIFS(Assumptions!$D:$D,Assumptions!$A:$A,$F9,Assumptions!$B:$B,"Base"))+(((SUMIFS(Raw_Data!$D:$D,Raw_Data!$A:$A,$F9)*(1+SUMIFS(Assumptions!$C:$C,Assumptions!$A:$A,$F9,Assumptions!$B:$B,"Base"))+(SUMIFS(Raw_Data!$D:$D,Raw_Data!$A:$A,$F9)*(1+SUMIFS(Assumptions!$C:$C,Assumptions!$A:$A,$F9,Assumptions!$B:$B,"Base"))*SUMIFS(Assumptions!$E:$E,Assumptions!$A:$A,$F9,Assumptions!$B:$B,"Base")*SUMIFS(Assumptions!$F:$F,Assumptions!$A:$A,$F9,Assumptions!$B:$B,"Base")*SUMIFS(Assumptions!$H:$H,Assumptions!$A:$A,$F9,Assumptions!$B:$B,"Base"))-(SUMIFS(Raw_Data!$D:$D,Raw_Data!$A:$A,$F9)*(1+SUMIFS(Assumptions!$C:$C,Assumptions!$A:$A,$F9,Assumptions!$B:$B,"Base"))*SUMIFS(Assumptions!$E:$E,Assumptions!$A:$A,$F9,Assumptions!$B:$B,"Base")*SUMIFS(Assumptions!$J:$J,Assumptions!$A:$A,$F9,Assumptions!$B:$B,"Base")))*(1+SUMIFS(Assumptions!$D:$D,Assumptions!$A:$A,$F9,Assumptions!$B:$B,"Base"))*SUMIFS(Assumptions!$E:$E,Assumptions!$A:$A,$F9,Assumptions!$B:$B,"Base")*SUMIFS(Assumptions!$G:$G,Assumptions!$A:$A,$F9,Assumptions!$B:$B,"Base")*SUMIFS(Assumptions!$I:$I,Assumptions!$A:$A,$F9,Assumptions!$B:$B,"Base"))-(((SUMIFS(Raw_Data!$D:$D,Raw_Data!$A:$A,$F9)*(1+SUMIFS(Assumptions!$C:$C,Assumptions!$A:$A,$F9,Assumptions!$B:$B,"Base"))+(SUMIFS(Raw_Data!$D:$D,Raw_Data!$A:$A,$F9)*(1+SUMIFS(Assumptions!$C:$C,Assumptions!$A:$A,$F9,Assumptions!$B:$B,"Base"))*SUMIFS(Assumptions!$E:$E,Assumptions!$A:$A,$F9,Assumptions!$B:$B,"Base")*SUMIFS(Assumptions!$F:$F,Assumptions!$A:$A,$F9,Assumptions!$B:$B,"Base")*SUMIFS(Assumptions!$H:$H,Assumptions!$A:$A,$F9,Assumptions!$B:$B,"Base"))-(SUMIFS(Raw_Data!$D:$D,Raw_Data!$A:$A,$F9)*(1+SUMIFS(Assumptions!$C:$C,Assumptions!$A:$A,$F9,Assumptions!$B:$B,"Base"))*SUMIFS(Assumptions!$E:$E,Assumptions!$A:$A,$F9,Assumptions!$B:$B,"Base")*SUMIFS(Assumptions!$J:$J,Assumptions!$A:$A,$F9,Assumptions!$B:$B,"Base")))*(1+SUMIFS(Assumptions!$D:$D,Assumptions!$A:$A,$F9,Assumptions!$B:$B,"Base"))*SUMIFS(Assumptions!$E:$E,Assumptions!$A:$A,$F9,Assumptions!$B:$B,"Base")*SUMIFS(Assumptions!$K:$K,Assumptions!$A:$A,$F9,Assumptions!$B:$B,"Base")))))</f>
        <v>23.586562771987072</v>
      </c>
      <c r="I9" s="32">
        <f>((SUMIFS(Raw_Data!$D:$D,Raw_Data!$A:$A,$F9)*(1+SUMIFS(Assumptions!$C:$C,Assumptions!$A:$A,$F9,Assumptions!$B:$B,"High"))+(SUMIFS(Raw_Data!$D:$D,Raw_Data!$A:$A,$F9)*(1+SUMIFS(Assumptions!$C:$C,Assumptions!$A:$A,$F9,Assumptions!$B:$B,"High"))*SUMIFS(Assumptions!$E:$E,Assumptions!$A:$A,$F9,Assumptions!$B:$B,"High")*SUMIFS(Assumptions!$F:$F,Assumptions!$A:$A,$F9,Assumptions!$B:$B,"High")*SUMIFS(Assumptions!$H:$H,Assumptions!$A:$A,$F9,Assumptions!$B:$B,"High"))-(SUMIFS(Raw_Data!$D:$D,Raw_Data!$A:$A,$F9)*(1+SUMIFS(Assumptions!$C:$C,Assumptions!$A:$A,$F9,Assumptions!$B:$B,"High"))*SUMIFS(Assumptions!$E:$E,Assumptions!$A:$A,$F9,Assumptions!$B:$B,"High")*SUMIFS(Assumptions!$J:$J,Assumptions!$A:$A,$F9,Assumptions!$B:$B,"High")))*(1+SUMIFS(Assumptions!$D:$D,Assumptions!$A:$A,$F9,Assumptions!$B:$B,"High"))+(((SUMIFS(Raw_Data!$D:$D,Raw_Data!$A:$A,$F9)*(1+SUMIFS(Assumptions!$C:$C,Assumptions!$A:$A,$F9,Assumptions!$B:$B,"High"))+(SUMIFS(Raw_Data!$D:$D,Raw_Data!$A:$A,$F9)*(1+SUMIFS(Assumptions!$C:$C,Assumptions!$A:$A,$F9,Assumptions!$B:$B,"High"))*SUMIFS(Assumptions!$E:$E,Assumptions!$A:$A,$F9,Assumptions!$B:$B,"High")*SUMIFS(Assumptions!$F:$F,Assumptions!$A:$A,$F9,Assumptions!$B:$B,"High")*SUMIFS(Assumptions!$H:$H,Assumptions!$A:$A,$F9,Assumptions!$B:$B,"High"))-(SUMIFS(Raw_Data!$D:$D,Raw_Data!$A:$A,$F9)*(1+SUMIFS(Assumptions!$C:$C,Assumptions!$A:$A,$F9,Assumptions!$B:$B,"High"))*SUMIFS(Assumptions!$E:$E,Assumptions!$A:$A,$F9,Assumptions!$B:$B,"High")*SUMIFS(Assumptions!$J:$J,Assumptions!$A:$A,$F9,Assumptions!$B:$B,"High")))*(1+SUMIFS(Assumptions!$D:$D,Assumptions!$A:$A,$F9,Assumptions!$B:$B,"High"))*SUMIFS(Assumptions!$E:$E,Assumptions!$A:$A,$F9,Assumptions!$B:$B,"High")*SUMIFS(Assumptions!$G:$G,Assumptions!$A:$A,$F9,Assumptions!$B:$B,"High")*SUMIFS(Assumptions!$I:$I,Assumptions!$A:$A,$F9,Assumptions!$B:$B,"High"))-(((SUMIFS(Raw_Data!$D:$D,Raw_Data!$A:$A,$F9)*(1+SUMIFS(Assumptions!$C:$C,Assumptions!$A:$A,$F9,Assumptions!$B:$B,"High"))+(SUMIFS(Raw_Data!$D:$D,Raw_Data!$A:$A,$F9)*(1+SUMIFS(Assumptions!$C:$C,Assumptions!$A:$A,$F9,Assumptions!$B:$B,"High"))*SUMIFS(Assumptions!$E:$E,Assumptions!$A:$A,$F9,Assumptions!$B:$B,"High")*SUMIFS(Assumptions!$F:$F,Assumptions!$A:$A,$F9,Assumptions!$B:$B,"High")*SUMIFS(Assumptions!$H:$H,Assumptions!$A:$A,$F9,Assumptions!$B:$B,"High"))-(SUMIFS(Raw_Data!$D:$D,Raw_Data!$A:$A,$F9)*(1+SUMIFS(Assumptions!$C:$C,Assumptions!$A:$A,$F9,Assumptions!$B:$B,"High"))*SUMIFS(Assumptions!$E:$E,Assumptions!$A:$A,$F9,Assumptions!$B:$B,"High")*SUMIFS(Assumptions!$J:$J,Assumptions!$A:$A,$F9,Assumptions!$B:$B,"High")))*(1+SUMIFS(Assumptions!$D:$D,Assumptions!$A:$A,$F9,Assumptions!$B:$B,"High"))*SUMIFS(Assumptions!$E:$E,Assumptions!$A:$A,$F9,Assumptions!$B:$B,"High")*SUMIFS(Assumptions!$K:$K,Assumptions!$A:$A,$F9,Assumptions!$B:$B,"High")))))</f>
        <v>24.719953098891317</v>
      </c>
      <c r="K9" s="31" t="s">
        <v>28</v>
      </c>
      <c r="L9" s="32">
        <f>Scenario_Model!R9</f>
        <v>0.16777985755330804</v>
      </c>
      <c r="M9" s="32">
        <f>Scenario_Model!T9</f>
        <v>4.6931428686240013E-2</v>
      </c>
      <c r="O9" s="31" t="s">
        <v>28</v>
      </c>
      <c r="P9" s="33">
        <f>Revenue_Mix!B9</f>
        <v>0</v>
      </c>
      <c r="Q9" s="33">
        <f>Revenue_Mix!F9</f>
        <v>1.0954339876031415E-2</v>
      </c>
    </row>
    <row r="10" spans="1:17" ht="19.5" customHeight="1" x14ac:dyDescent="0.35">
      <c r="A10" s="31" t="s">
        <v>33</v>
      </c>
      <c r="B10" s="32">
        <f>Scenario_Model!B10</f>
        <v>4.4754459999999998</v>
      </c>
      <c r="C10" s="32">
        <f>Scenario_Model!U10</f>
        <v>7.9877924904412803</v>
      </c>
      <c r="D10" s="33">
        <f>Revenue_Mix!F10</f>
        <v>3.5385236319100372E-2</v>
      </c>
      <c r="F10" s="31" t="s">
        <v>33</v>
      </c>
      <c r="G10" s="32">
        <f>((SUMIFS(Raw_Data!$D:$D,Raw_Data!$A:$A,$F10)*(1+SUMIFS(Assumptions!$C:$C,Assumptions!$A:$A,$F10,Assumptions!$B:$B,"Low"))+(SUMIFS(Raw_Data!$D:$D,Raw_Data!$A:$A,$F10)*(1+SUMIFS(Assumptions!$C:$C,Assumptions!$A:$A,$F10,Assumptions!$B:$B,"Low"))*SUMIFS(Assumptions!$E:$E,Assumptions!$A:$A,$F10,Assumptions!$B:$B,"Low")*SUMIFS(Assumptions!$F:$F,Assumptions!$A:$A,$F10,Assumptions!$B:$B,"Low")*SUMIFS(Assumptions!$H:$H,Assumptions!$A:$A,$F10,Assumptions!$B:$B,"Low"))-(SUMIFS(Raw_Data!$D:$D,Raw_Data!$A:$A,$F10)*(1+SUMIFS(Assumptions!$C:$C,Assumptions!$A:$A,$F10,Assumptions!$B:$B,"Low"))*SUMIFS(Assumptions!$E:$E,Assumptions!$A:$A,$F10,Assumptions!$B:$B,"Low")*SUMIFS(Assumptions!$J:$J,Assumptions!$A:$A,$F10,Assumptions!$B:$B,"Low")))*(1+SUMIFS(Assumptions!$D:$D,Assumptions!$A:$A,$F10,Assumptions!$B:$B,"Low"))+(((SUMIFS(Raw_Data!$D:$D,Raw_Data!$A:$A,$F10)*(1+SUMIFS(Assumptions!$C:$C,Assumptions!$A:$A,$F10,Assumptions!$B:$B,"Low"))+(SUMIFS(Raw_Data!$D:$D,Raw_Data!$A:$A,$F10)*(1+SUMIFS(Assumptions!$C:$C,Assumptions!$A:$A,$F10,Assumptions!$B:$B,"Low"))*SUMIFS(Assumptions!$E:$E,Assumptions!$A:$A,$F10,Assumptions!$B:$B,"Low")*SUMIFS(Assumptions!$F:$F,Assumptions!$A:$A,$F10,Assumptions!$B:$B,"Low")*SUMIFS(Assumptions!$H:$H,Assumptions!$A:$A,$F10,Assumptions!$B:$B,"Low"))-(SUMIFS(Raw_Data!$D:$D,Raw_Data!$A:$A,$F10)*(1+SUMIFS(Assumptions!$C:$C,Assumptions!$A:$A,$F10,Assumptions!$B:$B,"Low"))*SUMIFS(Assumptions!$E:$E,Assumptions!$A:$A,$F10,Assumptions!$B:$B,"Low")*SUMIFS(Assumptions!$J:$J,Assumptions!$A:$A,$F10,Assumptions!$B:$B,"Low")))*(1+SUMIFS(Assumptions!$D:$D,Assumptions!$A:$A,$F10,Assumptions!$B:$B,"Low"))*SUMIFS(Assumptions!$E:$E,Assumptions!$A:$A,$F10,Assumptions!$B:$B,"Low")*SUMIFS(Assumptions!$G:$G,Assumptions!$A:$A,$F10,Assumptions!$B:$B,"Low")*SUMIFS(Assumptions!$I:$I,Assumptions!$A:$A,$F10,Assumptions!$B:$B,"Low"))-(((SUMIFS(Raw_Data!$D:$D,Raw_Data!$A:$A,$F10)*(1+SUMIFS(Assumptions!$C:$C,Assumptions!$A:$A,$F10,Assumptions!$B:$B,"Low"))+(SUMIFS(Raw_Data!$D:$D,Raw_Data!$A:$A,$F10)*(1+SUMIFS(Assumptions!$C:$C,Assumptions!$A:$A,$F10,Assumptions!$B:$B,"Low"))*SUMIFS(Assumptions!$E:$E,Assumptions!$A:$A,$F10,Assumptions!$B:$B,"Low")*SUMIFS(Assumptions!$F:$F,Assumptions!$A:$A,$F10,Assumptions!$B:$B,"Low")*SUMIFS(Assumptions!$H:$H,Assumptions!$A:$A,$F10,Assumptions!$B:$B,"Low"))-(SUMIFS(Raw_Data!$D:$D,Raw_Data!$A:$A,$F10)*(1+SUMIFS(Assumptions!$C:$C,Assumptions!$A:$A,$F10,Assumptions!$B:$B,"Low"))*SUMIFS(Assumptions!$E:$E,Assumptions!$A:$A,$F10,Assumptions!$B:$B,"Low")*SUMIFS(Assumptions!$J:$J,Assumptions!$A:$A,$F10,Assumptions!$B:$B,"Low")))*(1+SUMIFS(Assumptions!$D:$D,Assumptions!$A:$A,$F10,Assumptions!$B:$B,"Low"))*SUMIFS(Assumptions!$E:$E,Assumptions!$A:$A,$F10,Assumptions!$B:$B,"Low")*SUMIFS(Assumptions!$K:$K,Assumptions!$A:$A,$F10,Assumptions!$B:$B,"Low")))))</f>
        <v>6.7951661005005857</v>
      </c>
      <c r="H10" s="32">
        <f>((SUMIFS(Raw_Data!$D:$D,Raw_Data!$A:$A,$F10)*(1+SUMIFS(Assumptions!$C:$C,Assumptions!$A:$A,$F10,Assumptions!$B:$B,"Base"))+(SUMIFS(Raw_Data!$D:$D,Raw_Data!$A:$A,$F10)*(1+SUMIFS(Assumptions!$C:$C,Assumptions!$A:$A,$F10,Assumptions!$B:$B,"Base"))*SUMIFS(Assumptions!$E:$E,Assumptions!$A:$A,$F10,Assumptions!$B:$B,"Base")*SUMIFS(Assumptions!$F:$F,Assumptions!$A:$A,$F10,Assumptions!$B:$B,"Base")*SUMIFS(Assumptions!$H:$H,Assumptions!$A:$A,$F10,Assumptions!$B:$B,"Base"))-(SUMIFS(Raw_Data!$D:$D,Raw_Data!$A:$A,$F10)*(1+SUMIFS(Assumptions!$C:$C,Assumptions!$A:$A,$F10,Assumptions!$B:$B,"Base"))*SUMIFS(Assumptions!$E:$E,Assumptions!$A:$A,$F10,Assumptions!$B:$B,"Base")*SUMIFS(Assumptions!$J:$J,Assumptions!$A:$A,$F10,Assumptions!$B:$B,"Base")))*(1+SUMIFS(Assumptions!$D:$D,Assumptions!$A:$A,$F10,Assumptions!$B:$B,"Base"))+(((SUMIFS(Raw_Data!$D:$D,Raw_Data!$A:$A,$F10)*(1+SUMIFS(Assumptions!$C:$C,Assumptions!$A:$A,$F10,Assumptions!$B:$B,"Base"))+(SUMIFS(Raw_Data!$D:$D,Raw_Data!$A:$A,$F10)*(1+SUMIFS(Assumptions!$C:$C,Assumptions!$A:$A,$F10,Assumptions!$B:$B,"Base"))*SUMIFS(Assumptions!$E:$E,Assumptions!$A:$A,$F10,Assumptions!$B:$B,"Base")*SUMIFS(Assumptions!$F:$F,Assumptions!$A:$A,$F10,Assumptions!$B:$B,"Base")*SUMIFS(Assumptions!$H:$H,Assumptions!$A:$A,$F10,Assumptions!$B:$B,"Base"))-(SUMIFS(Raw_Data!$D:$D,Raw_Data!$A:$A,$F10)*(1+SUMIFS(Assumptions!$C:$C,Assumptions!$A:$A,$F10,Assumptions!$B:$B,"Base"))*SUMIFS(Assumptions!$E:$E,Assumptions!$A:$A,$F10,Assumptions!$B:$B,"Base")*SUMIFS(Assumptions!$J:$J,Assumptions!$A:$A,$F10,Assumptions!$B:$B,"Base")))*(1+SUMIFS(Assumptions!$D:$D,Assumptions!$A:$A,$F10,Assumptions!$B:$B,"Base"))*SUMIFS(Assumptions!$E:$E,Assumptions!$A:$A,$F10,Assumptions!$B:$B,"Base")*SUMIFS(Assumptions!$G:$G,Assumptions!$A:$A,$F10,Assumptions!$B:$B,"Base")*SUMIFS(Assumptions!$I:$I,Assumptions!$A:$A,$F10,Assumptions!$B:$B,"Base"))-(((SUMIFS(Raw_Data!$D:$D,Raw_Data!$A:$A,$F10)*(1+SUMIFS(Assumptions!$C:$C,Assumptions!$A:$A,$F10,Assumptions!$B:$B,"Base"))+(SUMIFS(Raw_Data!$D:$D,Raw_Data!$A:$A,$F10)*(1+SUMIFS(Assumptions!$C:$C,Assumptions!$A:$A,$F10,Assumptions!$B:$B,"Base"))*SUMIFS(Assumptions!$E:$E,Assumptions!$A:$A,$F10,Assumptions!$B:$B,"Base")*SUMIFS(Assumptions!$F:$F,Assumptions!$A:$A,$F10,Assumptions!$B:$B,"Base")*SUMIFS(Assumptions!$H:$H,Assumptions!$A:$A,$F10,Assumptions!$B:$B,"Base"))-(SUMIFS(Raw_Data!$D:$D,Raw_Data!$A:$A,$F10)*(1+SUMIFS(Assumptions!$C:$C,Assumptions!$A:$A,$F10,Assumptions!$B:$B,"Base"))*SUMIFS(Assumptions!$E:$E,Assumptions!$A:$A,$F10,Assumptions!$B:$B,"Base")*SUMIFS(Assumptions!$J:$J,Assumptions!$A:$A,$F10,Assumptions!$B:$B,"Base")))*(1+SUMIFS(Assumptions!$D:$D,Assumptions!$A:$A,$F10,Assumptions!$B:$B,"Base"))*SUMIFS(Assumptions!$E:$E,Assumptions!$A:$A,$F10,Assumptions!$B:$B,"Base")*SUMIFS(Assumptions!$K:$K,Assumptions!$A:$A,$F10,Assumptions!$B:$B,"Base")))))</f>
        <v>7.9877924904412803</v>
      </c>
      <c r="I10" s="32">
        <f>((SUMIFS(Raw_Data!$D:$D,Raw_Data!$A:$A,$F10)*(1+SUMIFS(Assumptions!$C:$C,Assumptions!$A:$A,$F10,Assumptions!$B:$B,"High"))+(SUMIFS(Raw_Data!$D:$D,Raw_Data!$A:$A,$F10)*(1+SUMIFS(Assumptions!$C:$C,Assumptions!$A:$A,$F10,Assumptions!$B:$B,"High"))*SUMIFS(Assumptions!$E:$E,Assumptions!$A:$A,$F10,Assumptions!$B:$B,"High")*SUMIFS(Assumptions!$F:$F,Assumptions!$A:$A,$F10,Assumptions!$B:$B,"High")*SUMIFS(Assumptions!$H:$H,Assumptions!$A:$A,$F10,Assumptions!$B:$B,"High"))-(SUMIFS(Raw_Data!$D:$D,Raw_Data!$A:$A,$F10)*(1+SUMIFS(Assumptions!$C:$C,Assumptions!$A:$A,$F10,Assumptions!$B:$B,"High"))*SUMIFS(Assumptions!$E:$E,Assumptions!$A:$A,$F10,Assumptions!$B:$B,"High")*SUMIFS(Assumptions!$J:$J,Assumptions!$A:$A,$F10,Assumptions!$B:$B,"High")))*(1+SUMIFS(Assumptions!$D:$D,Assumptions!$A:$A,$F10,Assumptions!$B:$B,"High"))+(((SUMIFS(Raw_Data!$D:$D,Raw_Data!$A:$A,$F10)*(1+SUMIFS(Assumptions!$C:$C,Assumptions!$A:$A,$F10,Assumptions!$B:$B,"High"))+(SUMIFS(Raw_Data!$D:$D,Raw_Data!$A:$A,$F10)*(1+SUMIFS(Assumptions!$C:$C,Assumptions!$A:$A,$F10,Assumptions!$B:$B,"High"))*SUMIFS(Assumptions!$E:$E,Assumptions!$A:$A,$F10,Assumptions!$B:$B,"High")*SUMIFS(Assumptions!$F:$F,Assumptions!$A:$A,$F10,Assumptions!$B:$B,"High")*SUMIFS(Assumptions!$H:$H,Assumptions!$A:$A,$F10,Assumptions!$B:$B,"High"))-(SUMIFS(Raw_Data!$D:$D,Raw_Data!$A:$A,$F10)*(1+SUMIFS(Assumptions!$C:$C,Assumptions!$A:$A,$F10,Assumptions!$B:$B,"High"))*SUMIFS(Assumptions!$E:$E,Assumptions!$A:$A,$F10,Assumptions!$B:$B,"High")*SUMIFS(Assumptions!$J:$J,Assumptions!$A:$A,$F10,Assumptions!$B:$B,"High")))*(1+SUMIFS(Assumptions!$D:$D,Assumptions!$A:$A,$F10,Assumptions!$B:$B,"High"))*SUMIFS(Assumptions!$E:$E,Assumptions!$A:$A,$F10,Assumptions!$B:$B,"High")*SUMIFS(Assumptions!$G:$G,Assumptions!$A:$A,$F10,Assumptions!$B:$B,"High")*SUMIFS(Assumptions!$I:$I,Assumptions!$A:$A,$F10,Assumptions!$B:$B,"High"))-(((SUMIFS(Raw_Data!$D:$D,Raw_Data!$A:$A,$F10)*(1+SUMIFS(Assumptions!$C:$C,Assumptions!$A:$A,$F10,Assumptions!$B:$B,"High"))+(SUMIFS(Raw_Data!$D:$D,Raw_Data!$A:$A,$F10)*(1+SUMIFS(Assumptions!$C:$C,Assumptions!$A:$A,$F10,Assumptions!$B:$B,"High"))*SUMIFS(Assumptions!$E:$E,Assumptions!$A:$A,$F10,Assumptions!$B:$B,"High")*SUMIFS(Assumptions!$F:$F,Assumptions!$A:$A,$F10,Assumptions!$B:$B,"High")*SUMIFS(Assumptions!$H:$H,Assumptions!$A:$A,$F10,Assumptions!$B:$B,"High"))-(SUMIFS(Raw_Data!$D:$D,Raw_Data!$A:$A,$F10)*(1+SUMIFS(Assumptions!$C:$C,Assumptions!$A:$A,$F10,Assumptions!$B:$B,"High"))*SUMIFS(Assumptions!$E:$E,Assumptions!$A:$A,$F10,Assumptions!$B:$B,"High")*SUMIFS(Assumptions!$J:$J,Assumptions!$A:$A,$F10,Assumptions!$B:$B,"High")))*(1+SUMIFS(Assumptions!$D:$D,Assumptions!$A:$A,$F10,Assumptions!$B:$B,"High"))*SUMIFS(Assumptions!$E:$E,Assumptions!$A:$A,$F10,Assumptions!$B:$B,"High")*SUMIFS(Assumptions!$K:$K,Assumptions!$A:$A,$F10,Assumptions!$B:$B,"High")))))</f>
        <v>9.3200877315847652</v>
      </c>
      <c r="K10" s="31" t="s">
        <v>33</v>
      </c>
      <c r="L10" s="32">
        <f>Scenario_Model!R10</f>
        <v>0.17609340456576</v>
      </c>
      <c r="M10" s="32">
        <f>Scenario_Model!T10</f>
        <v>1.467445038048E-2</v>
      </c>
      <c r="O10" s="31" t="s">
        <v>33</v>
      </c>
      <c r="P10" s="33">
        <f>Revenue_Mix!B10</f>
        <v>0</v>
      </c>
      <c r="Q10" s="33">
        <f>Revenue_Mix!F10</f>
        <v>3.5385236319100372E-2</v>
      </c>
    </row>
    <row r="49" spans="1:1" ht="84.75" customHeight="1" x14ac:dyDescent="0.25">
      <c r="A49" s="34" t="s">
        <v>192</v>
      </c>
    </row>
  </sheetData>
  <mergeCells count="2">
    <mergeCell ref="A2:Q2"/>
    <mergeCell ref="A1:Q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topLeftCell="C1" zoomScaleNormal="100" zoomScalePageLayoutView="60" workbookViewId="0"/>
  </sheetViews>
  <sheetFormatPr defaultColWidth="8.6328125" defaultRowHeight="15" customHeight="1" x14ac:dyDescent="0.25"/>
  <cols>
    <col min="1" max="1" width="14" customWidth="1"/>
    <col min="2" max="2" width="30" customWidth="1"/>
    <col min="3" max="3" width="40" customWidth="1"/>
    <col min="4" max="4" width="24" customWidth="1"/>
    <col min="5" max="5" width="52" customWidth="1"/>
    <col min="6" max="6" width="24" customWidth="1"/>
    <col min="7" max="7" width="10" customWidth="1"/>
  </cols>
  <sheetData>
    <row r="1" spans="1:7" ht="24" customHeight="1" x14ac:dyDescent="0.25">
      <c r="A1" s="4" t="s">
        <v>0</v>
      </c>
      <c r="B1" s="4" t="s">
        <v>193</v>
      </c>
      <c r="C1" s="4" t="s">
        <v>194</v>
      </c>
      <c r="D1" s="4" t="s">
        <v>195</v>
      </c>
      <c r="E1" s="4" t="s">
        <v>196</v>
      </c>
      <c r="F1" s="4" t="s">
        <v>197</v>
      </c>
      <c r="G1" s="4" t="s">
        <v>198</v>
      </c>
    </row>
    <row r="2" spans="1:7" ht="33" customHeight="1" x14ac:dyDescent="0.25">
      <c r="A2" s="3" t="s">
        <v>7</v>
      </c>
      <c r="B2" s="3" t="s">
        <v>199</v>
      </c>
      <c r="C2" s="3" t="s">
        <v>200</v>
      </c>
      <c r="D2" s="3" t="s">
        <v>201</v>
      </c>
      <c r="E2" s="8" t="s">
        <v>61</v>
      </c>
      <c r="F2" s="3" t="s">
        <v>202</v>
      </c>
      <c r="G2" s="3" t="s">
        <v>203</v>
      </c>
    </row>
    <row r="3" spans="1:7" ht="33" customHeight="1" x14ac:dyDescent="0.25">
      <c r="A3" s="3" t="s">
        <v>13</v>
      </c>
      <c r="B3" s="3" t="s">
        <v>204</v>
      </c>
      <c r="C3" s="3" t="s">
        <v>205</v>
      </c>
      <c r="D3" s="3" t="s">
        <v>206</v>
      </c>
      <c r="E3" s="8" t="s">
        <v>71</v>
      </c>
      <c r="F3" s="3" t="s">
        <v>207</v>
      </c>
      <c r="G3" s="3" t="s">
        <v>203</v>
      </c>
    </row>
    <row r="4" spans="1:7" ht="33" customHeight="1" x14ac:dyDescent="0.25">
      <c r="A4" s="3" t="s">
        <v>18</v>
      </c>
      <c r="B4" s="3" t="s">
        <v>208</v>
      </c>
      <c r="C4" s="3" t="s">
        <v>209</v>
      </c>
      <c r="D4" s="3" t="s">
        <v>210</v>
      </c>
      <c r="E4" s="8" t="s">
        <v>79</v>
      </c>
      <c r="F4" s="3" t="s">
        <v>211</v>
      </c>
      <c r="G4" s="3" t="s">
        <v>203</v>
      </c>
    </row>
    <row r="5" spans="1:7" ht="33" customHeight="1" x14ac:dyDescent="0.25">
      <c r="A5" s="3" t="s">
        <v>23</v>
      </c>
      <c r="B5" s="3" t="s">
        <v>212</v>
      </c>
      <c r="C5" s="3" t="s">
        <v>213</v>
      </c>
      <c r="D5" s="3" t="s">
        <v>214</v>
      </c>
      <c r="E5" s="8" t="s">
        <v>88</v>
      </c>
      <c r="F5" s="3" t="s">
        <v>215</v>
      </c>
      <c r="G5" s="3" t="s">
        <v>203</v>
      </c>
    </row>
    <row r="6" spans="1:7" ht="33" customHeight="1" x14ac:dyDescent="0.25">
      <c r="A6" s="3" t="s">
        <v>28</v>
      </c>
      <c r="B6" s="3" t="s">
        <v>208</v>
      </c>
      <c r="C6" s="3" t="s">
        <v>216</v>
      </c>
      <c r="D6" s="3" t="s">
        <v>217</v>
      </c>
      <c r="E6" s="8" t="s">
        <v>97</v>
      </c>
      <c r="F6" s="3" t="s">
        <v>218</v>
      </c>
      <c r="G6" s="3" t="s">
        <v>203</v>
      </c>
    </row>
    <row r="7" spans="1:7" ht="33" customHeight="1" x14ac:dyDescent="0.25">
      <c r="A7" s="3" t="s">
        <v>33</v>
      </c>
      <c r="B7" s="3" t="s">
        <v>219</v>
      </c>
      <c r="C7" s="3" t="s">
        <v>220</v>
      </c>
      <c r="D7" s="3" t="s">
        <v>210</v>
      </c>
      <c r="E7" s="8" t="s">
        <v>105</v>
      </c>
      <c r="F7" s="3" t="s">
        <v>221</v>
      </c>
      <c r="G7" s="3" t="s">
        <v>203</v>
      </c>
    </row>
    <row r="8" spans="1:7" ht="33" customHeight="1" x14ac:dyDescent="0.25">
      <c r="A8" s="35" t="s">
        <v>7</v>
      </c>
      <c r="B8" s="35" t="s">
        <v>222</v>
      </c>
      <c r="C8" s="35" t="s">
        <v>223</v>
      </c>
      <c r="D8" s="35" t="s">
        <v>224</v>
      </c>
      <c r="E8" s="8" t="s">
        <v>62</v>
      </c>
      <c r="F8" s="35" t="s">
        <v>225</v>
      </c>
      <c r="G8" s="35" t="s">
        <v>203</v>
      </c>
    </row>
    <row r="9" spans="1:7" ht="33" customHeight="1" x14ac:dyDescent="0.25">
      <c r="A9" s="35" t="s">
        <v>13</v>
      </c>
      <c r="B9" s="35" t="s">
        <v>222</v>
      </c>
      <c r="C9" s="35" t="s">
        <v>226</v>
      </c>
      <c r="D9" s="35" t="s">
        <v>227</v>
      </c>
      <c r="E9" s="8" t="s">
        <v>70</v>
      </c>
      <c r="F9" s="35" t="s">
        <v>228</v>
      </c>
      <c r="G9" s="35" t="s">
        <v>203</v>
      </c>
    </row>
    <row r="10" spans="1:7" ht="33" customHeight="1" x14ac:dyDescent="0.25">
      <c r="A10" s="35" t="s">
        <v>18</v>
      </c>
      <c r="B10" s="35" t="s">
        <v>222</v>
      </c>
      <c r="C10" s="35" t="s">
        <v>229</v>
      </c>
      <c r="D10" s="35" t="s">
        <v>230</v>
      </c>
      <c r="E10" s="8" t="s">
        <v>80</v>
      </c>
      <c r="F10" s="35" t="s">
        <v>231</v>
      </c>
      <c r="G10" s="35" t="s">
        <v>203</v>
      </c>
    </row>
    <row r="11" spans="1:7" ht="33" customHeight="1" x14ac:dyDescent="0.25">
      <c r="A11" s="35" t="s">
        <v>23</v>
      </c>
      <c r="B11" s="35" t="s">
        <v>222</v>
      </c>
      <c r="C11" s="35" t="s">
        <v>232</v>
      </c>
      <c r="D11" s="35" t="s">
        <v>233</v>
      </c>
      <c r="E11" s="8" t="s">
        <v>89</v>
      </c>
      <c r="F11" s="35" t="s">
        <v>234</v>
      </c>
      <c r="G11" s="35" t="s">
        <v>203</v>
      </c>
    </row>
    <row r="12" spans="1:7" ht="33" customHeight="1" x14ac:dyDescent="0.25">
      <c r="A12" s="35" t="s">
        <v>28</v>
      </c>
      <c r="B12" s="35" t="s">
        <v>222</v>
      </c>
      <c r="C12" s="35" t="s">
        <v>235</v>
      </c>
      <c r="D12" s="35" t="s">
        <v>233</v>
      </c>
      <c r="E12" s="8" t="s">
        <v>98</v>
      </c>
      <c r="F12" s="35" t="s">
        <v>236</v>
      </c>
      <c r="G12" s="35" t="s">
        <v>203</v>
      </c>
    </row>
    <row r="13" spans="1:7" ht="33" customHeight="1" x14ac:dyDescent="0.25">
      <c r="A13" s="35" t="s">
        <v>33</v>
      </c>
      <c r="B13" s="35" t="s">
        <v>222</v>
      </c>
      <c r="C13" s="35" t="s">
        <v>237</v>
      </c>
      <c r="D13" s="35" t="s">
        <v>230</v>
      </c>
      <c r="E13" s="8" t="s">
        <v>106</v>
      </c>
      <c r="F13" s="35" t="s">
        <v>238</v>
      </c>
      <c r="G13" s="35" t="s">
        <v>203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tabSelected="1" zoomScaleNormal="100" zoomScalePageLayoutView="60" workbookViewId="0">
      <selection activeCell="H5" sqref="H5"/>
    </sheetView>
  </sheetViews>
  <sheetFormatPr defaultColWidth="8.6328125" defaultRowHeight="15" customHeight="1" x14ac:dyDescent="0.25"/>
  <cols>
    <col min="1" max="1" width="18" customWidth="1"/>
    <col min="2" max="2" width="40" customWidth="1"/>
    <col min="3" max="3" width="14" customWidth="1"/>
    <col min="4" max="4" width="30" customWidth="1"/>
  </cols>
  <sheetData>
    <row r="1" spans="1:4" ht="24" customHeight="1" thickBot="1" x14ac:dyDescent="0.3">
      <c r="A1" s="2" t="s">
        <v>239</v>
      </c>
      <c r="B1" s="2" t="s">
        <v>240</v>
      </c>
      <c r="C1" s="2" t="s">
        <v>241</v>
      </c>
      <c r="D1" s="2" t="s">
        <v>242</v>
      </c>
    </row>
    <row r="2" spans="1:4" ht="19.5" customHeight="1" x14ac:dyDescent="0.25">
      <c r="A2" s="3" t="s">
        <v>243</v>
      </c>
      <c r="B2" s="3" t="s">
        <v>244</v>
      </c>
      <c r="C2" s="3" t="s">
        <v>245</v>
      </c>
      <c r="D2" s="3" t="s">
        <v>246</v>
      </c>
    </row>
    <row r="3" spans="1:4" ht="19.5" customHeight="1" x14ac:dyDescent="0.25">
      <c r="A3" s="3" t="s">
        <v>247</v>
      </c>
      <c r="B3" s="3" t="s">
        <v>248</v>
      </c>
      <c r="C3" s="3" t="s">
        <v>245</v>
      </c>
      <c r="D3" s="3" t="s">
        <v>249</v>
      </c>
    </row>
    <row r="4" spans="1:4" ht="36" customHeight="1" x14ac:dyDescent="0.25">
      <c r="A4" s="3" t="s">
        <v>250</v>
      </c>
      <c r="B4" s="3" t="s">
        <v>251</v>
      </c>
      <c r="C4" s="3" t="s">
        <v>252</v>
      </c>
      <c r="D4" s="3" t="s">
        <v>253</v>
      </c>
    </row>
    <row r="5" spans="1:4" ht="36" customHeight="1" x14ac:dyDescent="0.25">
      <c r="A5" s="3" t="s">
        <v>254</v>
      </c>
      <c r="B5" s="3" t="s">
        <v>255</v>
      </c>
      <c r="C5" s="3" t="s">
        <v>256</v>
      </c>
      <c r="D5" s="3" t="s">
        <v>257</v>
      </c>
    </row>
    <row r="6" spans="1:4" ht="36" customHeight="1" x14ac:dyDescent="0.25">
      <c r="A6" s="3" t="s">
        <v>258</v>
      </c>
      <c r="B6" s="3" t="s">
        <v>259</v>
      </c>
      <c r="C6" s="3" t="s">
        <v>260</v>
      </c>
      <c r="D6" s="3" t="s">
        <v>261</v>
      </c>
    </row>
    <row r="7" spans="1:4" ht="36" customHeight="1" x14ac:dyDescent="0.25">
      <c r="A7" s="3" t="s">
        <v>262</v>
      </c>
      <c r="B7" s="3" t="s">
        <v>263</v>
      </c>
      <c r="C7" s="3" t="s">
        <v>264</v>
      </c>
      <c r="D7" s="3" t="s">
        <v>265</v>
      </c>
    </row>
    <row r="8" spans="1:4" ht="36" customHeight="1" x14ac:dyDescent="0.25">
      <c r="A8" s="3" t="s">
        <v>266</v>
      </c>
      <c r="B8" s="3" t="s">
        <v>267</v>
      </c>
      <c r="C8" s="3" t="s">
        <v>268</v>
      </c>
      <c r="D8" s="3" t="s">
        <v>269</v>
      </c>
    </row>
    <row r="9" spans="1:4" ht="36" customHeight="1" x14ac:dyDescent="0.25">
      <c r="A9" s="3" t="s">
        <v>270</v>
      </c>
      <c r="B9" s="3" t="s">
        <v>271</v>
      </c>
      <c r="C9" s="3" t="s">
        <v>272</v>
      </c>
      <c r="D9" s="3" t="s">
        <v>273</v>
      </c>
    </row>
    <row r="10" spans="1:4" ht="36" customHeight="1" x14ac:dyDescent="0.25">
      <c r="A10" s="3" t="s">
        <v>274</v>
      </c>
      <c r="B10" s="3" t="s">
        <v>275</v>
      </c>
      <c r="C10" s="3" t="s">
        <v>276</v>
      </c>
      <c r="D10" s="3" t="s">
        <v>277</v>
      </c>
    </row>
    <row r="11" spans="1:4" ht="36" customHeight="1" x14ac:dyDescent="0.25">
      <c r="A11" s="3" t="s">
        <v>278</v>
      </c>
      <c r="B11" s="3" t="s">
        <v>279</v>
      </c>
      <c r="C11" s="3" t="s">
        <v>280</v>
      </c>
      <c r="D11" s="3" t="s">
        <v>281</v>
      </c>
    </row>
    <row r="12" spans="1:4" ht="36" customHeight="1" x14ac:dyDescent="0.25">
      <c r="A12" s="3" t="s">
        <v>282</v>
      </c>
      <c r="B12" s="3" t="s">
        <v>283</v>
      </c>
      <c r="C12" s="3" t="s">
        <v>284</v>
      </c>
      <c r="D12" s="3" t="s">
        <v>285</v>
      </c>
    </row>
    <row r="13" spans="1:4" ht="36" customHeight="1" x14ac:dyDescent="0.25">
      <c r="A13" s="3" t="s">
        <v>286</v>
      </c>
      <c r="B13" s="3" t="s">
        <v>287</v>
      </c>
      <c r="C13" s="3" t="s">
        <v>288</v>
      </c>
      <c r="D13" s="3" t="s">
        <v>289</v>
      </c>
    </row>
    <row r="14" spans="1:4" ht="36" customHeight="1" x14ac:dyDescent="0.25">
      <c r="A14" s="3" t="s">
        <v>290</v>
      </c>
      <c r="B14" s="3" t="s">
        <v>291</v>
      </c>
      <c r="C14" s="3" t="s">
        <v>292</v>
      </c>
      <c r="D14" s="3" t="s">
        <v>293</v>
      </c>
    </row>
    <row r="15" spans="1:4" ht="36" customHeight="1" x14ac:dyDescent="0.25">
      <c r="A15" s="3" t="s">
        <v>294</v>
      </c>
      <c r="B15" s="3" t="s">
        <v>295</v>
      </c>
      <c r="C15" s="3" t="s">
        <v>296</v>
      </c>
      <c r="D15" s="3" t="s">
        <v>297</v>
      </c>
    </row>
    <row r="16" spans="1:4" ht="36" customHeight="1" x14ac:dyDescent="0.25">
      <c r="A16" s="3" t="s">
        <v>298</v>
      </c>
      <c r="B16" s="3" t="s">
        <v>299</v>
      </c>
      <c r="C16" s="3" t="s">
        <v>300</v>
      </c>
      <c r="D16" s="3" t="s">
        <v>301</v>
      </c>
    </row>
    <row r="17" spans="1:4" ht="36" customHeight="1" x14ac:dyDescent="0.25">
      <c r="A17" s="3" t="s">
        <v>302</v>
      </c>
      <c r="B17" s="3" t="s">
        <v>303</v>
      </c>
      <c r="C17" s="3" t="s">
        <v>304</v>
      </c>
      <c r="D17" s="3" t="s">
        <v>305</v>
      </c>
    </row>
    <row r="18" spans="1:4" ht="36" customHeight="1" x14ac:dyDescent="0.25">
      <c r="A18" s="3" t="s">
        <v>306</v>
      </c>
      <c r="B18" s="3" t="s">
        <v>307</v>
      </c>
      <c r="C18" s="3" t="s">
        <v>308</v>
      </c>
      <c r="D18" s="3" t="s">
        <v>309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Company_Selection</vt:lpstr>
      <vt:lpstr>Raw_Data</vt:lpstr>
      <vt:lpstr>Assumptions</vt:lpstr>
      <vt:lpstr>Scenario_Model</vt:lpstr>
      <vt:lpstr>Revenue_Mix</vt:lpstr>
      <vt:lpstr>Charts</vt:lpstr>
      <vt:lpstr>Sources</vt:lpstr>
      <vt:lpstr>Prompt_Log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Albin Thomas</cp:lastModifiedBy>
  <cp:revision>0</cp:revision>
  <dcterms:created xsi:type="dcterms:W3CDTF">2026-04-11T10:59:51Z</dcterms:created>
  <dcterms:modified xsi:type="dcterms:W3CDTF">2026-04-11T19:39:06Z</dcterms:modified>
  <dc:language>en-US</dc:language>
</cp:coreProperties>
</file>